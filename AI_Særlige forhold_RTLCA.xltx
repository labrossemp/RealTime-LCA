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P:\Bæredygtighed\7. LCA\09 Værktøjer\"/>
    </mc:Choice>
  </mc:AlternateContent>
  <xr:revisionPtr revIDLastSave="0" documentId="13_ncr:1_{48B4CBF0-84BE-41D9-A821-877976DA3D12}" xr6:coauthVersionLast="47" xr6:coauthVersionMax="47" xr10:uidLastSave="{00000000-0000-0000-0000-000000000000}"/>
  <bookViews>
    <workbookView xWindow="28680" yWindow="-120" windowWidth="29040" windowHeight="15720" xr2:uid="{6E708BEA-9A5D-44D7-8AFF-F9456D6C7F0F}"/>
  </bookViews>
  <sheets>
    <sheet name="Intro" sheetId="4" r:id="rId1"/>
    <sheet name="Importér data" sheetId="2" r:id="rId2"/>
    <sheet name="Beregn tillæ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5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P16" i="3"/>
  <c r="P15" i="3"/>
  <c r="P12" i="3"/>
  <c r="P11" i="3"/>
  <c r="P10" i="3"/>
  <c r="C411" i="3"/>
  <c r="K411" i="3"/>
  <c r="C412" i="3"/>
  <c r="K412" i="3"/>
  <c r="C413" i="3"/>
  <c r="K413" i="3"/>
  <c r="C414" i="3"/>
  <c r="K414" i="3"/>
  <c r="C415" i="3"/>
  <c r="K415" i="3"/>
  <c r="C416" i="3"/>
  <c r="K416" i="3"/>
  <c r="C417" i="3"/>
  <c r="K417" i="3"/>
  <c r="C418" i="3"/>
  <c r="K418" i="3"/>
  <c r="C419" i="3"/>
  <c r="K419" i="3"/>
  <c r="C420" i="3"/>
  <c r="K420" i="3"/>
  <c r="C421" i="3"/>
  <c r="K421" i="3"/>
  <c r="C422" i="3"/>
  <c r="K422" i="3"/>
  <c r="C423" i="3"/>
  <c r="K423" i="3"/>
  <c r="C424" i="3"/>
  <c r="K424" i="3"/>
  <c r="C425" i="3"/>
  <c r="K425" i="3"/>
  <c r="C426" i="3"/>
  <c r="K426" i="3"/>
  <c r="C427" i="3"/>
  <c r="K427" i="3"/>
  <c r="C428" i="3"/>
  <c r="K428" i="3"/>
  <c r="C429" i="3"/>
  <c r="K429" i="3"/>
  <c r="C430" i="3"/>
  <c r="K430" i="3"/>
  <c r="C431" i="3"/>
  <c r="K431" i="3"/>
  <c r="C432" i="3"/>
  <c r="K432" i="3"/>
  <c r="C433" i="3"/>
  <c r="K433" i="3"/>
  <c r="C434" i="3"/>
  <c r="K434" i="3"/>
  <c r="C435" i="3"/>
  <c r="K435" i="3"/>
  <c r="C436" i="3"/>
  <c r="K436" i="3"/>
  <c r="C437" i="3"/>
  <c r="K437" i="3"/>
  <c r="C438" i="3"/>
  <c r="K438" i="3"/>
  <c r="C439" i="3"/>
  <c r="K439" i="3"/>
  <c r="C440" i="3"/>
  <c r="K440" i="3"/>
  <c r="C441" i="3"/>
  <c r="K441" i="3"/>
  <c r="C442" i="3"/>
  <c r="K442" i="3"/>
  <c r="C443" i="3"/>
  <c r="K443" i="3"/>
  <c r="C444" i="3"/>
  <c r="K444" i="3"/>
  <c r="C445" i="3"/>
  <c r="K445" i="3"/>
  <c r="C446" i="3"/>
  <c r="K446" i="3"/>
  <c r="C447" i="3"/>
  <c r="K447" i="3"/>
  <c r="C448" i="3"/>
  <c r="K448" i="3"/>
  <c r="C449" i="3"/>
  <c r="K449" i="3"/>
  <c r="C450" i="3"/>
  <c r="K450" i="3"/>
  <c r="C451" i="3"/>
  <c r="K451" i="3"/>
  <c r="C452" i="3"/>
  <c r="K452" i="3"/>
  <c r="C453" i="3"/>
  <c r="K453" i="3"/>
  <c r="C454" i="3"/>
  <c r="K454" i="3"/>
  <c r="C455" i="3"/>
  <c r="K455" i="3"/>
  <c r="C456" i="3"/>
  <c r="K456" i="3"/>
  <c r="C457" i="3"/>
  <c r="K457" i="3"/>
  <c r="C458" i="3"/>
  <c r="K458" i="3"/>
  <c r="C459" i="3"/>
  <c r="K459" i="3"/>
  <c r="C460" i="3"/>
  <c r="K460" i="3"/>
  <c r="C461" i="3"/>
  <c r="K461" i="3"/>
  <c r="C462" i="3"/>
  <c r="K462" i="3"/>
  <c r="C463" i="3"/>
  <c r="K463" i="3"/>
  <c r="C464" i="3"/>
  <c r="K464" i="3"/>
  <c r="C465" i="3"/>
  <c r="K465" i="3"/>
  <c r="C466" i="3"/>
  <c r="K466" i="3"/>
  <c r="C467" i="3"/>
  <c r="K467" i="3"/>
  <c r="C468" i="3"/>
  <c r="K468" i="3"/>
  <c r="C469" i="3"/>
  <c r="K469" i="3"/>
  <c r="C470" i="3"/>
  <c r="K470" i="3"/>
  <c r="C471" i="3"/>
  <c r="K471" i="3"/>
  <c r="C472" i="3"/>
  <c r="K472" i="3"/>
  <c r="C473" i="3"/>
  <c r="K473" i="3"/>
  <c r="C474" i="3"/>
  <c r="K474" i="3"/>
  <c r="C475" i="3"/>
  <c r="K475" i="3"/>
  <c r="C476" i="3"/>
  <c r="K476" i="3"/>
  <c r="C477" i="3"/>
  <c r="K477" i="3"/>
  <c r="C478" i="3"/>
  <c r="K478" i="3"/>
  <c r="C479" i="3"/>
  <c r="K479" i="3"/>
  <c r="C480" i="3"/>
  <c r="K480" i="3"/>
  <c r="C481" i="3"/>
  <c r="K481" i="3"/>
  <c r="C482" i="3"/>
  <c r="K482" i="3"/>
  <c r="C483" i="3"/>
  <c r="K483" i="3"/>
  <c r="C484" i="3"/>
  <c r="K484" i="3"/>
  <c r="C485" i="3"/>
  <c r="K485" i="3"/>
  <c r="C486" i="3"/>
  <c r="K486" i="3"/>
  <c r="C487" i="3"/>
  <c r="K487" i="3"/>
  <c r="C488" i="3"/>
  <c r="K488" i="3"/>
  <c r="C489" i="3"/>
  <c r="K489" i="3"/>
  <c r="C490" i="3"/>
  <c r="K490" i="3"/>
  <c r="C491" i="3"/>
  <c r="K491" i="3"/>
  <c r="C492" i="3"/>
  <c r="K492" i="3"/>
  <c r="C493" i="3"/>
  <c r="K493" i="3"/>
  <c r="C494" i="3"/>
  <c r="K494" i="3"/>
  <c r="C495" i="3"/>
  <c r="K495" i="3"/>
  <c r="C496" i="3"/>
  <c r="K496" i="3"/>
  <c r="C497" i="3"/>
  <c r="K497" i="3"/>
  <c r="C498" i="3"/>
  <c r="K498" i="3"/>
  <c r="C499" i="3"/>
  <c r="K499" i="3"/>
  <c r="C500" i="3"/>
  <c r="K500" i="3"/>
  <c r="C501" i="3"/>
  <c r="K501" i="3"/>
  <c r="C502" i="3"/>
  <c r="K502" i="3"/>
  <c r="C503" i="3"/>
  <c r="K503" i="3"/>
  <c r="C504" i="3"/>
  <c r="K504" i="3"/>
  <c r="C505" i="3"/>
  <c r="K505" i="3"/>
  <c r="C506" i="3"/>
  <c r="K506" i="3"/>
  <c r="C507" i="3"/>
  <c r="K507" i="3"/>
  <c r="C508" i="3"/>
  <c r="K508" i="3"/>
  <c r="C509" i="3"/>
  <c r="K509" i="3"/>
  <c r="C510" i="3"/>
  <c r="K510" i="3"/>
  <c r="C511" i="3"/>
  <c r="K511" i="3"/>
  <c r="C512" i="3"/>
  <c r="K512" i="3"/>
  <c r="C513" i="3"/>
  <c r="K513" i="3"/>
  <c r="C514" i="3"/>
  <c r="K514" i="3"/>
  <c r="C515" i="3"/>
  <c r="K515" i="3"/>
  <c r="C516" i="3"/>
  <c r="K516" i="3"/>
  <c r="C517" i="3"/>
  <c r="K517" i="3"/>
  <c r="C518" i="3"/>
  <c r="K518" i="3"/>
  <c r="C519" i="3"/>
  <c r="K519" i="3"/>
  <c r="C520" i="3"/>
  <c r="K520" i="3"/>
  <c r="C521" i="3"/>
  <c r="K521" i="3"/>
  <c r="C522" i="3"/>
  <c r="K522" i="3"/>
  <c r="C523" i="3"/>
  <c r="K523" i="3"/>
  <c r="C524" i="3"/>
  <c r="K524" i="3"/>
  <c r="C525" i="3"/>
  <c r="K525" i="3"/>
  <c r="C526" i="3"/>
  <c r="K526" i="3"/>
  <c r="C527" i="3"/>
  <c r="K527" i="3"/>
  <c r="C528" i="3"/>
  <c r="K528" i="3"/>
  <c r="C529" i="3"/>
  <c r="K529" i="3"/>
  <c r="C530" i="3"/>
  <c r="K530" i="3"/>
  <c r="C531" i="3"/>
  <c r="K531" i="3"/>
  <c r="C532" i="3"/>
  <c r="K532" i="3"/>
  <c r="C533" i="3"/>
  <c r="K533" i="3"/>
  <c r="C534" i="3"/>
  <c r="K534" i="3"/>
  <c r="C535" i="3"/>
  <c r="K535" i="3"/>
  <c r="C536" i="3"/>
  <c r="K536" i="3"/>
  <c r="C537" i="3"/>
  <c r="K537" i="3"/>
  <c r="C538" i="3"/>
  <c r="K538" i="3"/>
  <c r="C539" i="3"/>
  <c r="K539" i="3"/>
  <c r="C540" i="3"/>
  <c r="K540" i="3"/>
  <c r="C541" i="3"/>
  <c r="K541" i="3"/>
  <c r="C542" i="3"/>
  <c r="K542" i="3"/>
  <c r="C543" i="3"/>
  <c r="K543" i="3"/>
  <c r="C544" i="3"/>
  <c r="K544" i="3"/>
  <c r="C545" i="3"/>
  <c r="K545" i="3"/>
  <c r="C546" i="3"/>
  <c r="K546" i="3"/>
  <c r="C547" i="3"/>
  <c r="K547" i="3"/>
  <c r="C548" i="3"/>
  <c r="K548" i="3"/>
  <c r="C549" i="3"/>
  <c r="K549" i="3"/>
  <c r="C550" i="3"/>
  <c r="K550" i="3"/>
  <c r="C551" i="3"/>
  <c r="K551" i="3"/>
  <c r="C552" i="3"/>
  <c r="K552" i="3"/>
  <c r="C553" i="3"/>
  <c r="K553" i="3"/>
  <c r="C554" i="3"/>
  <c r="K554" i="3"/>
  <c r="C555" i="3"/>
  <c r="K555" i="3"/>
  <c r="C556" i="3"/>
  <c r="K556" i="3"/>
  <c r="C557" i="3"/>
  <c r="K557" i="3"/>
  <c r="C558" i="3"/>
  <c r="K558" i="3"/>
  <c r="C559" i="3"/>
  <c r="K559" i="3"/>
  <c r="C560" i="3"/>
  <c r="K560" i="3"/>
  <c r="C561" i="3"/>
  <c r="K561" i="3"/>
  <c r="C562" i="3"/>
  <c r="K562" i="3"/>
  <c r="C563" i="3"/>
  <c r="K563" i="3"/>
  <c r="C564" i="3"/>
  <c r="K564" i="3"/>
  <c r="C565" i="3"/>
  <c r="K565" i="3"/>
  <c r="C566" i="3"/>
  <c r="K566" i="3"/>
  <c r="C567" i="3"/>
  <c r="K567" i="3"/>
  <c r="C568" i="3"/>
  <c r="K568" i="3"/>
  <c r="C569" i="3"/>
  <c r="K569" i="3"/>
  <c r="C570" i="3"/>
  <c r="K570" i="3"/>
  <c r="C571" i="3"/>
  <c r="K571" i="3"/>
  <c r="C572" i="3"/>
  <c r="K572" i="3"/>
  <c r="C573" i="3"/>
  <c r="K573" i="3"/>
  <c r="C574" i="3"/>
  <c r="K574" i="3"/>
  <c r="C575" i="3"/>
  <c r="K575" i="3"/>
  <c r="C576" i="3"/>
  <c r="K576" i="3"/>
  <c r="C577" i="3"/>
  <c r="K577" i="3"/>
  <c r="C578" i="3"/>
  <c r="K578" i="3"/>
  <c r="C579" i="3"/>
  <c r="K579" i="3"/>
  <c r="C580" i="3"/>
  <c r="K580" i="3"/>
  <c r="C581" i="3"/>
  <c r="K581" i="3"/>
  <c r="C582" i="3"/>
  <c r="K582" i="3"/>
  <c r="C583" i="3"/>
  <c r="K583" i="3"/>
  <c r="C584" i="3"/>
  <c r="K584" i="3"/>
  <c r="C585" i="3"/>
  <c r="K585" i="3"/>
  <c r="C586" i="3"/>
  <c r="K586" i="3"/>
  <c r="C587" i="3"/>
  <c r="K587" i="3"/>
  <c r="C588" i="3"/>
  <c r="K588" i="3"/>
  <c r="C589" i="3"/>
  <c r="K589" i="3"/>
  <c r="C590" i="3"/>
  <c r="K590" i="3"/>
  <c r="C591" i="3"/>
  <c r="K591" i="3"/>
  <c r="C592" i="3"/>
  <c r="K592" i="3"/>
  <c r="C593" i="3"/>
  <c r="K593" i="3"/>
  <c r="C594" i="3"/>
  <c r="K594" i="3"/>
  <c r="C595" i="3"/>
  <c r="K595" i="3"/>
  <c r="C596" i="3"/>
  <c r="K596" i="3"/>
  <c r="C597" i="3"/>
  <c r="K597" i="3"/>
  <c r="C598" i="3"/>
  <c r="K598" i="3"/>
  <c r="C599" i="3"/>
  <c r="K599" i="3"/>
  <c r="C600" i="3"/>
  <c r="K600" i="3"/>
  <c r="C601" i="3"/>
  <c r="K601" i="3"/>
  <c r="C602" i="3"/>
  <c r="K602" i="3"/>
  <c r="C603" i="3"/>
  <c r="K603" i="3"/>
  <c r="C604" i="3"/>
  <c r="K604" i="3"/>
  <c r="C605" i="3"/>
  <c r="K605" i="3"/>
  <c r="C606" i="3"/>
  <c r="K606" i="3"/>
  <c r="C607" i="3"/>
  <c r="K607" i="3"/>
  <c r="C608" i="3"/>
  <c r="K608" i="3"/>
  <c r="C609" i="3"/>
  <c r="K609" i="3"/>
  <c r="C610" i="3"/>
  <c r="K610" i="3"/>
  <c r="C611" i="3"/>
  <c r="K611" i="3"/>
  <c r="C612" i="3"/>
  <c r="K612" i="3"/>
  <c r="C613" i="3"/>
  <c r="K613" i="3"/>
  <c r="C614" i="3"/>
  <c r="K614" i="3"/>
  <c r="C615" i="3"/>
  <c r="K615" i="3"/>
  <c r="C616" i="3"/>
  <c r="K616" i="3"/>
  <c r="C617" i="3"/>
  <c r="K617" i="3"/>
  <c r="C618" i="3"/>
  <c r="K618" i="3"/>
  <c r="C619" i="3"/>
  <c r="K619" i="3"/>
  <c r="C620" i="3"/>
  <c r="K620" i="3"/>
  <c r="C621" i="3"/>
  <c r="K621" i="3"/>
  <c r="C622" i="3"/>
  <c r="K622" i="3"/>
  <c r="C623" i="3"/>
  <c r="K623" i="3"/>
  <c r="C624" i="3"/>
  <c r="K624" i="3"/>
  <c r="C625" i="3"/>
  <c r="K625" i="3"/>
  <c r="C626" i="3"/>
  <c r="K626" i="3"/>
  <c r="C627" i="3"/>
  <c r="K627" i="3"/>
  <c r="C628" i="3"/>
  <c r="K628" i="3"/>
  <c r="C629" i="3"/>
  <c r="K629" i="3"/>
  <c r="C630" i="3"/>
  <c r="K630" i="3"/>
  <c r="C631" i="3"/>
  <c r="K631" i="3"/>
  <c r="C632" i="3"/>
  <c r="K632" i="3"/>
  <c r="C633" i="3"/>
  <c r="K633" i="3"/>
  <c r="C634" i="3"/>
  <c r="K634" i="3"/>
  <c r="C635" i="3"/>
  <c r="K635" i="3"/>
  <c r="C636" i="3"/>
  <c r="K636" i="3"/>
  <c r="C637" i="3"/>
  <c r="K637" i="3"/>
  <c r="C638" i="3"/>
  <c r="K638" i="3"/>
  <c r="C639" i="3"/>
  <c r="K639" i="3"/>
  <c r="C640" i="3"/>
  <c r="K640" i="3"/>
  <c r="C641" i="3"/>
  <c r="K641" i="3"/>
  <c r="C642" i="3"/>
  <c r="K642" i="3"/>
  <c r="C643" i="3"/>
  <c r="K643" i="3"/>
  <c r="C644" i="3"/>
  <c r="K644" i="3"/>
  <c r="C645" i="3"/>
  <c r="K645" i="3"/>
  <c r="C646" i="3"/>
  <c r="K646" i="3"/>
  <c r="C647" i="3"/>
  <c r="K647" i="3"/>
  <c r="C648" i="3"/>
  <c r="K648" i="3"/>
  <c r="C649" i="3"/>
  <c r="K649" i="3"/>
  <c r="C650" i="3"/>
  <c r="K650" i="3"/>
  <c r="C651" i="3"/>
  <c r="K651" i="3"/>
  <c r="C652" i="3"/>
  <c r="K652" i="3"/>
  <c r="C653" i="3"/>
  <c r="K653" i="3"/>
  <c r="C654" i="3"/>
  <c r="K654" i="3"/>
  <c r="C655" i="3"/>
  <c r="K655" i="3"/>
  <c r="C656" i="3"/>
  <c r="K656" i="3"/>
  <c r="C657" i="3"/>
  <c r="K657" i="3"/>
  <c r="C658" i="3"/>
  <c r="K658" i="3"/>
  <c r="C659" i="3"/>
  <c r="K659" i="3"/>
  <c r="C660" i="3"/>
  <c r="K660" i="3"/>
  <c r="C661" i="3"/>
  <c r="K661" i="3"/>
  <c r="C662" i="3"/>
  <c r="K662" i="3"/>
  <c r="C663" i="3"/>
  <c r="K663" i="3"/>
  <c r="C664" i="3"/>
  <c r="K664" i="3"/>
  <c r="C665" i="3"/>
  <c r="K665" i="3"/>
  <c r="C666" i="3"/>
  <c r="K666" i="3"/>
  <c r="C667" i="3"/>
  <c r="K667" i="3"/>
  <c r="C668" i="3"/>
  <c r="K668" i="3"/>
  <c r="C669" i="3"/>
  <c r="K669" i="3"/>
  <c r="C670" i="3"/>
  <c r="K670" i="3"/>
  <c r="C671" i="3"/>
  <c r="K671" i="3"/>
  <c r="C672" i="3"/>
  <c r="K672" i="3"/>
  <c r="C673" i="3"/>
  <c r="K673" i="3"/>
  <c r="C674" i="3"/>
  <c r="K674" i="3"/>
  <c r="C675" i="3"/>
  <c r="K675" i="3"/>
  <c r="C676" i="3"/>
  <c r="K676" i="3"/>
  <c r="C677" i="3"/>
  <c r="K677" i="3"/>
  <c r="C678" i="3"/>
  <c r="K678" i="3"/>
  <c r="C679" i="3"/>
  <c r="K679" i="3"/>
  <c r="C680" i="3"/>
  <c r="K680" i="3"/>
  <c r="C681" i="3"/>
  <c r="K681" i="3"/>
  <c r="C682" i="3"/>
  <c r="K682" i="3"/>
  <c r="C683" i="3"/>
  <c r="K683" i="3"/>
  <c r="C684" i="3"/>
  <c r="K684" i="3"/>
  <c r="C685" i="3"/>
  <c r="K685" i="3"/>
  <c r="C686" i="3"/>
  <c r="K686" i="3"/>
  <c r="C687" i="3"/>
  <c r="K687" i="3"/>
  <c r="C688" i="3"/>
  <c r="K688" i="3"/>
  <c r="C689" i="3"/>
  <c r="K689" i="3"/>
  <c r="C690" i="3"/>
  <c r="K690" i="3"/>
  <c r="C691" i="3"/>
  <c r="K691" i="3"/>
  <c r="C692" i="3"/>
  <c r="K692" i="3"/>
  <c r="C693" i="3"/>
  <c r="K693" i="3"/>
  <c r="C694" i="3"/>
  <c r="K694" i="3"/>
  <c r="C695" i="3"/>
  <c r="K695" i="3"/>
  <c r="C696" i="3"/>
  <c r="K696" i="3"/>
  <c r="C697" i="3"/>
  <c r="K697" i="3"/>
  <c r="C698" i="3"/>
  <c r="K698" i="3"/>
  <c r="C699" i="3"/>
  <c r="K699" i="3"/>
  <c r="C700" i="3"/>
  <c r="K700" i="3"/>
  <c r="C701" i="3"/>
  <c r="K701" i="3"/>
  <c r="C702" i="3"/>
  <c r="K702" i="3"/>
  <c r="C703" i="3"/>
  <c r="K703" i="3"/>
  <c r="C704" i="3"/>
  <c r="K704" i="3"/>
  <c r="C705" i="3"/>
  <c r="K705" i="3"/>
  <c r="C706" i="3"/>
  <c r="K706" i="3"/>
  <c r="C707" i="3"/>
  <c r="K707" i="3"/>
  <c r="C708" i="3"/>
  <c r="K708" i="3"/>
  <c r="C709" i="3"/>
  <c r="K709" i="3"/>
  <c r="C710" i="3"/>
  <c r="K710" i="3"/>
  <c r="C711" i="3"/>
  <c r="K711" i="3"/>
  <c r="C712" i="3"/>
  <c r="K712" i="3"/>
  <c r="C713" i="3"/>
  <c r="K713" i="3"/>
  <c r="C714" i="3"/>
  <c r="K714" i="3"/>
  <c r="C715" i="3"/>
  <c r="K715" i="3"/>
  <c r="C716" i="3"/>
  <c r="K716" i="3"/>
  <c r="C717" i="3"/>
  <c r="K717" i="3"/>
  <c r="C718" i="3"/>
  <c r="K718" i="3"/>
  <c r="C719" i="3"/>
  <c r="K719" i="3"/>
  <c r="C720" i="3"/>
  <c r="K720" i="3"/>
  <c r="C721" i="3"/>
  <c r="K721" i="3"/>
  <c r="C722" i="3"/>
  <c r="K722" i="3"/>
  <c r="C723" i="3"/>
  <c r="K723" i="3"/>
  <c r="C724" i="3"/>
  <c r="K724" i="3"/>
  <c r="C725" i="3"/>
  <c r="K725" i="3"/>
  <c r="C726" i="3"/>
  <c r="K726" i="3"/>
  <c r="C727" i="3"/>
  <c r="K727" i="3"/>
  <c r="C728" i="3"/>
  <c r="K728" i="3"/>
  <c r="C729" i="3"/>
  <c r="K729" i="3"/>
  <c r="C730" i="3"/>
  <c r="K730" i="3"/>
  <c r="C731" i="3"/>
  <c r="K731" i="3"/>
  <c r="C732" i="3"/>
  <c r="K732" i="3"/>
  <c r="C733" i="3"/>
  <c r="K733" i="3"/>
  <c r="C734" i="3"/>
  <c r="K734" i="3"/>
  <c r="C735" i="3"/>
  <c r="K735" i="3"/>
  <c r="C736" i="3"/>
  <c r="K736" i="3"/>
  <c r="C737" i="3"/>
  <c r="K737" i="3"/>
  <c r="C738" i="3"/>
  <c r="K738" i="3"/>
  <c r="C739" i="3"/>
  <c r="K739" i="3"/>
  <c r="C740" i="3"/>
  <c r="K740" i="3"/>
  <c r="C741" i="3"/>
  <c r="K741" i="3"/>
  <c r="C742" i="3"/>
  <c r="K742" i="3"/>
  <c r="C743" i="3"/>
  <c r="K743" i="3"/>
  <c r="C744" i="3"/>
  <c r="K744" i="3"/>
  <c r="C745" i="3"/>
  <c r="K745" i="3"/>
  <c r="C746" i="3"/>
  <c r="K746" i="3"/>
  <c r="C747" i="3"/>
  <c r="K747" i="3"/>
  <c r="C748" i="3"/>
  <c r="K748" i="3"/>
  <c r="C749" i="3"/>
  <c r="K749" i="3"/>
  <c r="C750" i="3"/>
  <c r="K750" i="3"/>
  <c r="C751" i="3"/>
  <c r="K751" i="3"/>
  <c r="C752" i="3"/>
  <c r="K752" i="3"/>
  <c r="C753" i="3"/>
  <c r="K753" i="3"/>
  <c r="C754" i="3"/>
  <c r="K754" i="3"/>
  <c r="C755" i="3"/>
  <c r="K755" i="3"/>
  <c r="C756" i="3"/>
  <c r="K756" i="3"/>
  <c r="C757" i="3"/>
  <c r="K757" i="3"/>
  <c r="C758" i="3"/>
  <c r="K758" i="3"/>
  <c r="C759" i="3"/>
  <c r="K759" i="3"/>
  <c r="C760" i="3"/>
  <c r="K760" i="3"/>
  <c r="C761" i="3"/>
  <c r="K761" i="3"/>
  <c r="C762" i="3"/>
  <c r="K762" i="3"/>
  <c r="C763" i="3"/>
  <c r="K763" i="3"/>
  <c r="C764" i="3"/>
  <c r="K764" i="3"/>
  <c r="C765" i="3"/>
  <c r="K765" i="3"/>
  <c r="C766" i="3"/>
  <c r="K766" i="3"/>
  <c r="C767" i="3"/>
  <c r="K767" i="3"/>
  <c r="C768" i="3"/>
  <c r="K768" i="3"/>
  <c r="C769" i="3"/>
  <c r="K769" i="3"/>
  <c r="C770" i="3"/>
  <c r="K770" i="3"/>
  <c r="C771" i="3"/>
  <c r="K771" i="3"/>
  <c r="C772" i="3"/>
  <c r="K772" i="3"/>
  <c r="C773" i="3"/>
  <c r="K773" i="3"/>
  <c r="C774" i="3"/>
  <c r="K774" i="3"/>
  <c r="C775" i="3"/>
  <c r="K775" i="3"/>
  <c r="C776" i="3"/>
  <c r="K776" i="3"/>
  <c r="C777" i="3"/>
  <c r="K777" i="3"/>
  <c r="C778" i="3"/>
  <c r="K778" i="3"/>
  <c r="C779" i="3"/>
  <c r="K779" i="3"/>
  <c r="C780" i="3"/>
  <c r="K780" i="3"/>
  <c r="C781" i="3"/>
  <c r="K781" i="3"/>
  <c r="C782" i="3"/>
  <c r="K782" i="3"/>
  <c r="C783" i="3"/>
  <c r="K783" i="3"/>
  <c r="C784" i="3"/>
  <c r="K784" i="3"/>
  <c r="C785" i="3"/>
  <c r="K785" i="3"/>
  <c r="C786" i="3"/>
  <c r="K786" i="3"/>
  <c r="C787" i="3"/>
  <c r="K787" i="3"/>
  <c r="C788" i="3"/>
  <c r="K788" i="3"/>
  <c r="C789" i="3"/>
  <c r="K789" i="3"/>
  <c r="C790" i="3"/>
  <c r="K790" i="3"/>
  <c r="C791" i="3"/>
  <c r="K791" i="3"/>
  <c r="C792" i="3"/>
  <c r="K792" i="3"/>
  <c r="C793" i="3"/>
  <c r="K793" i="3"/>
  <c r="C794" i="3"/>
  <c r="K794" i="3"/>
  <c r="C795" i="3"/>
  <c r="K795" i="3"/>
  <c r="C796" i="3"/>
  <c r="K796" i="3"/>
  <c r="C797" i="3"/>
  <c r="K797" i="3"/>
  <c r="C798" i="3"/>
  <c r="K798" i="3"/>
  <c r="C799" i="3"/>
  <c r="K799" i="3"/>
  <c r="C800" i="3"/>
  <c r="K800" i="3"/>
  <c r="C801" i="3"/>
  <c r="K801" i="3"/>
  <c r="C802" i="3"/>
  <c r="K802" i="3"/>
  <c r="C803" i="3"/>
  <c r="K803" i="3"/>
  <c r="C804" i="3"/>
  <c r="K804" i="3"/>
  <c r="C805" i="3"/>
  <c r="K805" i="3"/>
  <c r="C806" i="3"/>
  <c r="K806" i="3"/>
  <c r="C807" i="3"/>
  <c r="K807" i="3"/>
  <c r="C808" i="3"/>
  <c r="K808" i="3"/>
  <c r="C809" i="3"/>
  <c r="K809" i="3"/>
  <c r="C810" i="3"/>
  <c r="K810" i="3"/>
  <c r="C811" i="3"/>
  <c r="K811" i="3"/>
  <c r="C812" i="3"/>
  <c r="K812" i="3"/>
  <c r="C813" i="3"/>
  <c r="K813" i="3"/>
  <c r="C814" i="3"/>
  <c r="K814" i="3"/>
  <c r="C815" i="3"/>
  <c r="K815" i="3"/>
  <c r="C816" i="3"/>
  <c r="K816" i="3"/>
  <c r="C817" i="3"/>
  <c r="K817" i="3"/>
  <c r="C818" i="3"/>
  <c r="K818" i="3"/>
  <c r="C819" i="3"/>
  <c r="K819" i="3"/>
  <c r="C820" i="3"/>
  <c r="K820" i="3"/>
  <c r="C821" i="3"/>
  <c r="K821" i="3"/>
  <c r="C822" i="3"/>
  <c r="K822" i="3"/>
  <c r="C823" i="3"/>
  <c r="K823" i="3"/>
  <c r="C824" i="3"/>
  <c r="K824" i="3"/>
  <c r="C825" i="3"/>
  <c r="K825" i="3"/>
  <c r="C826" i="3"/>
  <c r="K826" i="3"/>
  <c r="C827" i="3"/>
  <c r="K827" i="3"/>
  <c r="C828" i="3"/>
  <c r="K828" i="3"/>
  <c r="C829" i="3"/>
  <c r="K829" i="3"/>
  <c r="C830" i="3"/>
  <c r="K830" i="3"/>
  <c r="C831" i="3"/>
  <c r="K831" i="3"/>
  <c r="C832" i="3"/>
  <c r="K832" i="3"/>
  <c r="C833" i="3"/>
  <c r="K833" i="3"/>
  <c r="C834" i="3"/>
  <c r="K834" i="3"/>
  <c r="C835" i="3"/>
  <c r="K835" i="3"/>
  <c r="C836" i="3"/>
  <c r="K836" i="3"/>
  <c r="C837" i="3"/>
  <c r="K837" i="3"/>
  <c r="C838" i="3"/>
  <c r="K838" i="3"/>
  <c r="C839" i="3"/>
  <c r="K839" i="3"/>
  <c r="C840" i="3"/>
  <c r="K840" i="3"/>
  <c r="C841" i="3"/>
  <c r="K841" i="3"/>
  <c r="C842" i="3"/>
  <c r="K842" i="3"/>
  <c r="C843" i="3"/>
  <c r="K843" i="3"/>
  <c r="C844" i="3"/>
  <c r="K844" i="3"/>
  <c r="C845" i="3"/>
  <c r="K845" i="3"/>
  <c r="C846" i="3"/>
  <c r="K846" i="3"/>
  <c r="C847" i="3"/>
  <c r="K847" i="3"/>
  <c r="C848" i="3"/>
  <c r="K848" i="3"/>
  <c r="C849" i="3"/>
  <c r="K849" i="3"/>
  <c r="C850" i="3"/>
  <c r="K850" i="3"/>
  <c r="C851" i="3"/>
  <c r="K851" i="3"/>
  <c r="C852" i="3"/>
  <c r="K852" i="3"/>
  <c r="C853" i="3"/>
  <c r="K853" i="3"/>
  <c r="C854" i="3"/>
  <c r="K854" i="3"/>
  <c r="C855" i="3"/>
  <c r="K855" i="3"/>
  <c r="C856" i="3"/>
  <c r="K856" i="3"/>
  <c r="C857" i="3"/>
  <c r="K857" i="3"/>
  <c r="C858" i="3"/>
  <c r="K858" i="3"/>
  <c r="C859" i="3"/>
  <c r="K859" i="3"/>
  <c r="C860" i="3"/>
  <c r="K860" i="3"/>
  <c r="C861" i="3"/>
  <c r="K861" i="3"/>
  <c r="C862" i="3"/>
  <c r="K862" i="3"/>
  <c r="C863" i="3"/>
  <c r="K863" i="3"/>
  <c r="C864" i="3"/>
  <c r="K864" i="3"/>
  <c r="C865" i="3"/>
  <c r="K865" i="3"/>
  <c r="C866" i="3"/>
  <c r="K866" i="3"/>
  <c r="C867" i="3"/>
  <c r="K867" i="3"/>
  <c r="C868" i="3"/>
  <c r="K868" i="3"/>
  <c r="C869" i="3"/>
  <c r="K869" i="3"/>
  <c r="C870" i="3"/>
  <c r="K870" i="3"/>
  <c r="C871" i="3"/>
  <c r="K871" i="3"/>
  <c r="C872" i="3"/>
  <c r="K872" i="3"/>
  <c r="C873" i="3"/>
  <c r="K873" i="3"/>
  <c r="C874" i="3"/>
  <c r="K874" i="3"/>
  <c r="C875" i="3"/>
  <c r="K875" i="3"/>
  <c r="C876" i="3"/>
  <c r="K876" i="3"/>
  <c r="C877" i="3"/>
  <c r="K877" i="3"/>
  <c r="C878" i="3"/>
  <c r="K878" i="3"/>
  <c r="C879" i="3"/>
  <c r="K879" i="3"/>
  <c r="C880" i="3"/>
  <c r="K880" i="3"/>
  <c r="C881" i="3"/>
  <c r="K881" i="3"/>
  <c r="C882" i="3"/>
  <c r="K882" i="3"/>
  <c r="C883" i="3"/>
  <c r="K883" i="3"/>
  <c r="C884" i="3"/>
  <c r="K884" i="3"/>
  <c r="C885" i="3"/>
  <c r="K885" i="3"/>
  <c r="C886" i="3"/>
  <c r="K886" i="3"/>
  <c r="C887" i="3"/>
  <c r="K887" i="3"/>
  <c r="C888" i="3"/>
  <c r="K888" i="3"/>
  <c r="C889" i="3"/>
  <c r="K889" i="3"/>
  <c r="C890" i="3"/>
  <c r="K890" i="3"/>
  <c r="C891" i="3"/>
  <c r="K891" i="3"/>
  <c r="C892" i="3"/>
  <c r="K892" i="3"/>
  <c r="C893" i="3"/>
  <c r="K893" i="3"/>
  <c r="C894" i="3"/>
  <c r="K894" i="3"/>
  <c r="C895" i="3"/>
  <c r="K895" i="3"/>
  <c r="C896" i="3"/>
  <c r="K896" i="3"/>
  <c r="C897" i="3"/>
  <c r="K897" i="3"/>
  <c r="C898" i="3"/>
  <c r="K898" i="3"/>
  <c r="C899" i="3"/>
  <c r="K899" i="3"/>
  <c r="C900" i="3"/>
  <c r="K900" i="3"/>
  <c r="C901" i="3"/>
  <c r="K901" i="3"/>
  <c r="C902" i="3"/>
  <c r="K902" i="3"/>
  <c r="C903" i="3"/>
  <c r="K903" i="3"/>
  <c r="C904" i="3"/>
  <c r="K904" i="3"/>
  <c r="C905" i="3"/>
  <c r="K905" i="3"/>
  <c r="C906" i="3"/>
  <c r="K906" i="3"/>
  <c r="C907" i="3"/>
  <c r="K907" i="3"/>
  <c r="C908" i="3"/>
  <c r="K908" i="3"/>
  <c r="C909" i="3"/>
  <c r="K909" i="3"/>
  <c r="C910" i="3"/>
  <c r="K910" i="3"/>
  <c r="C911" i="3"/>
  <c r="K911" i="3"/>
  <c r="C912" i="3"/>
  <c r="K912" i="3"/>
  <c r="C913" i="3"/>
  <c r="K913" i="3"/>
  <c r="C914" i="3"/>
  <c r="K914" i="3"/>
  <c r="C915" i="3"/>
  <c r="K915" i="3"/>
  <c r="C916" i="3"/>
  <c r="K916" i="3"/>
  <c r="C917" i="3"/>
  <c r="K917" i="3"/>
  <c r="C918" i="3"/>
  <c r="K918" i="3"/>
  <c r="C919" i="3"/>
  <c r="K919" i="3"/>
  <c r="C920" i="3"/>
  <c r="K920" i="3"/>
  <c r="C921" i="3"/>
  <c r="K921" i="3"/>
  <c r="C922" i="3"/>
  <c r="K922" i="3"/>
  <c r="C923" i="3"/>
  <c r="K923" i="3"/>
  <c r="C924" i="3"/>
  <c r="K924" i="3"/>
  <c r="C925" i="3"/>
  <c r="K925" i="3"/>
  <c r="C926" i="3"/>
  <c r="K926" i="3"/>
  <c r="C927" i="3"/>
  <c r="K927" i="3"/>
  <c r="C928" i="3"/>
  <c r="K928" i="3"/>
  <c r="C929" i="3"/>
  <c r="K929" i="3"/>
  <c r="C930" i="3"/>
  <c r="K930" i="3"/>
  <c r="C931" i="3"/>
  <c r="K931" i="3"/>
  <c r="C932" i="3"/>
  <c r="K932" i="3"/>
  <c r="C933" i="3"/>
  <c r="K933" i="3"/>
  <c r="C934" i="3"/>
  <c r="K934" i="3"/>
  <c r="C935" i="3"/>
  <c r="K935" i="3"/>
  <c r="C936" i="3"/>
  <c r="K936" i="3"/>
  <c r="C937" i="3"/>
  <c r="K937" i="3"/>
  <c r="C938" i="3"/>
  <c r="K938" i="3"/>
  <c r="C939" i="3"/>
  <c r="K939" i="3"/>
  <c r="C940" i="3"/>
  <c r="K940" i="3"/>
  <c r="C941" i="3"/>
  <c r="K941" i="3"/>
  <c r="C942" i="3"/>
  <c r="K942" i="3"/>
  <c r="C943" i="3"/>
  <c r="K943" i="3"/>
  <c r="C944" i="3"/>
  <c r="K944" i="3"/>
  <c r="C945" i="3"/>
  <c r="K945" i="3"/>
  <c r="C946" i="3"/>
  <c r="K946" i="3"/>
  <c r="C947" i="3"/>
  <c r="K947" i="3"/>
  <c r="C948" i="3"/>
  <c r="K948" i="3"/>
  <c r="C949" i="3"/>
  <c r="K949" i="3"/>
  <c r="C950" i="3"/>
  <c r="K950" i="3"/>
  <c r="C951" i="3"/>
  <c r="K951" i="3"/>
  <c r="C952" i="3"/>
  <c r="K952" i="3"/>
  <c r="C953" i="3"/>
  <c r="K953" i="3"/>
  <c r="C954" i="3"/>
  <c r="K954" i="3"/>
  <c r="C955" i="3"/>
  <c r="K955" i="3"/>
  <c r="C956" i="3"/>
  <c r="K956" i="3"/>
  <c r="C957" i="3"/>
  <c r="K957" i="3"/>
  <c r="C958" i="3"/>
  <c r="K958" i="3"/>
  <c r="C959" i="3"/>
  <c r="K959" i="3"/>
  <c r="C960" i="3"/>
  <c r="K960" i="3"/>
  <c r="C961" i="3"/>
  <c r="K961" i="3"/>
  <c r="C962" i="3"/>
  <c r="K962" i="3"/>
  <c r="C963" i="3"/>
  <c r="K963" i="3"/>
  <c r="C964" i="3"/>
  <c r="K964" i="3"/>
  <c r="C965" i="3"/>
  <c r="K965" i="3"/>
  <c r="C966" i="3"/>
  <c r="K966" i="3"/>
  <c r="C967" i="3"/>
  <c r="K967" i="3"/>
  <c r="C968" i="3"/>
  <c r="K968" i="3"/>
  <c r="C969" i="3"/>
  <c r="K969" i="3"/>
  <c r="C970" i="3"/>
  <c r="K970" i="3"/>
  <c r="C971" i="3"/>
  <c r="K971" i="3"/>
  <c r="C972" i="3"/>
  <c r="K972" i="3"/>
  <c r="C973" i="3"/>
  <c r="K973" i="3"/>
  <c r="C974" i="3"/>
  <c r="K974" i="3"/>
  <c r="C975" i="3"/>
  <c r="K975" i="3"/>
  <c r="C976" i="3"/>
  <c r="K976" i="3"/>
  <c r="C977" i="3"/>
  <c r="K977" i="3"/>
  <c r="C978" i="3"/>
  <c r="K978" i="3"/>
  <c r="C979" i="3"/>
  <c r="K979" i="3"/>
  <c r="C980" i="3"/>
  <c r="K980" i="3"/>
  <c r="C981" i="3"/>
  <c r="K981" i="3"/>
  <c r="C982" i="3"/>
  <c r="K982" i="3"/>
  <c r="C983" i="3"/>
  <c r="K983" i="3"/>
  <c r="C984" i="3"/>
  <c r="K984" i="3"/>
  <c r="C985" i="3"/>
  <c r="K985" i="3"/>
  <c r="C986" i="3"/>
  <c r="K986" i="3"/>
  <c r="C987" i="3"/>
  <c r="K987" i="3"/>
  <c r="C988" i="3"/>
  <c r="K988" i="3"/>
  <c r="C989" i="3"/>
  <c r="K989" i="3"/>
  <c r="C990" i="3"/>
  <c r="K990" i="3"/>
  <c r="C991" i="3"/>
  <c r="K991" i="3"/>
  <c r="C992" i="3"/>
  <c r="K992" i="3"/>
  <c r="C993" i="3"/>
  <c r="K993" i="3"/>
  <c r="C994" i="3"/>
  <c r="K994" i="3"/>
  <c r="C995" i="3"/>
  <c r="K995" i="3"/>
  <c r="C996" i="3"/>
  <c r="K996" i="3"/>
  <c r="C997" i="3"/>
  <c r="K997" i="3"/>
  <c r="C998" i="3"/>
  <c r="K998" i="3"/>
  <c r="C999" i="3"/>
  <c r="K999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" i="3"/>
  <c r="B4" i="3"/>
  <c r="K5" i="3"/>
  <c r="K6" i="3"/>
  <c r="K7" i="3"/>
  <c r="P9" i="3"/>
  <c r="J826" i="3" s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T48" i="3"/>
  <c r="K59" i="3"/>
  <c r="T49" i="3"/>
  <c r="K60" i="3"/>
  <c r="T50" i="3"/>
  <c r="K61" i="3"/>
  <c r="T51" i="3"/>
  <c r="K62" i="3"/>
  <c r="T52" i="3"/>
  <c r="K63" i="3"/>
  <c r="T53" i="3"/>
  <c r="K64" i="3"/>
  <c r="T54" i="3"/>
  <c r="K65" i="3"/>
  <c r="T55" i="3"/>
  <c r="K66" i="3"/>
  <c r="T56" i="3"/>
  <c r="K67" i="3"/>
  <c r="T57" i="3"/>
  <c r="K68" i="3"/>
  <c r="T58" i="3"/>
  <c r="K69" i="3"/>
  <c r="T59" i="3"/>
  <c r="K70" i="3"/>
  <c r="T60" i="3"/>
  <c r="K71" i="3"/>
  <c r="T61" i="3"/>
  <c r="K72" i="3"/>
  <c r="T6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O92" i="3"/>
  <c r="K103" i="3"/>
  <c r="O93" i="3"/>
  <c r="K104" i="3"/>
  <c r="O94" i="3"/>
  <c r="K105" i="3"/>
  <c r="O95" i="3"/>
  <c r="K106" i="3"/>
  <c r="O96" i="3"/>
  <c r="K107" i="3"/>
  <c r="O97" i="3"/>
  <c r="K108" i="3"/>
  <c r="O98" i="3"/>
  <c r="K109" i="3"/>
  <c r="O99" i="3"/>
  <c r="K110" i="3"/>
  <c r="O10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J390" i="3" l="1"/>
  <c r="J389" i="3"/>
  <c r="J353" i="3"/>
  <c r="P14" i="3"/>
  <c r="J399" i="3"/>
  <c r="J356" i="3"/>
  <c r="J406" i="3"/>
  <c r="J383" i="3"/>
  <c r="J373" i="3"/>
  <c r="J405" i="3"/>
  <c r="J372" i="3"/>
  <c r="J362" i="3"/>
  <c r="J361" i="3"/>
  <c r="J395" i="3"/>
  <c r="J403" i="3"/>
  <c r="I395" i="3"/>
  <c r="I387" i="3"/>
  <c r="J378" i="3"/>
  <c r="J394" i="3"/>
  <c r="J359" i="3"/>
  <c r="J349" i="3"/>
  <c r="J367" i="3"/>
  <c r="J400" i="3"/>
  <c r="J392" i="3"/>
  <c r="J384" i="3"/>
  <c r="J336" i="3"/>
  <c r="J379" i="3"/>
  <c r="J368" i="3"/>
  <c r="J357" i="3"/>
  <c r="J350" i="3"/>
  <c r="J342" i="3"/>
  <c r="J249" i="3"/>
  <c r="I401" i="3"/>
  <c r="I389" i="3"/>
  <c r="I377" i="3"/>
  <c r="I373" i="3"/>
  <c r="I365" i="3"/>
  <c r="I361" i="3"/>
  <c r="I353" i="3"/>
  <c r="I329" i="3"/>
  <c r="J410" i="3"/>
  <c r="I399" i="3"/>
  <c r="J388" i="3"/>
  <c r="I383" i="3"/>
  <c r="J377" i="3"/>
  <c r="J366" i="3"/>
  <c r="J404" i="3"/>
  <c r="J393" i="3"/>
  <c r="J371" i="3"/>
  <c r="J360" i="3"/>
  <c r="J354" i="3"/>
  <c r="J327" i="3"/>
  <c r="J409" i="3"/>
  <c r="J398" i="3"/>
  <c r="J387" i="3"/>
  <c r="J382" i="3"/>
  <c r="J376" i="3"/>
  <c r="I371" i="3"/>
  <c r="J365" i="3"/>
  <c r="J346" i="3"/>
  <c r="J397" i="3"/>
  <c r="J375" i="3"/>
  <c r="I359" i="3"/>
  <c r="J402" i="3"/>
  <c r="J391" i="3"/>
  <c r="J386" i="3"/>
  <c r="I375" i="3"/>
  <c r="J352" i="3"/>
  <c r="J344" i="3"/>
  <c r="J408" i="3"/>
  <c r="J370" i="3"/>
  <c r="J407" i="3"/>
  <c r="J396" i="3"/>
  <c r="I391" i="3"/>
  <c r="J380" i="3"/>
  <c r="J369" i="3"/>
  <c r="J363" i="3"/>
  <c r="J358" i="3"/>
  <c r="J381" i="3"/>
  <c r="J364" i="3"/>
  <c r="I407" i="3"/>
  <c r="J401" i="3"/>
  <c r="J385" i="3"/>
  <c r="J374" i="3"/>
  <c r="I363" i="3"/>
  <c r="J351" i="3"/>
  <c r="J345" i="3"/>
  <c r="J318" i="3"/>
  <c r="J295" i="3"/>
  <c r="J355" i="3"/>
  <c r="J348" i="3"/>
  <c r="J332" i="3"/>
  <c r="J323" i="3"/>
  <c r="I341" i="3"/>
  <c r="I347" i="3"/>
  <c r="J322" i="3"/>
  <c r="J321" i="3"/>
  <c r="J240" i="3"/>
  <c r="J339" i="3"/>
  <c r="J316" i="3"/>
  <c r="J338" i="3"/>
  <c r="J330" i="3"/>
  <c r="J292" i="3"/>
  <c r="J246" i="3"/>
  <c r="I301" i="3"/>
  <c r="J243" i="3"/>
  <c r="J347" i="3"/>
  <c r="J341" i="3"/>
  <c r="J334" i="3"/>
  <c r="J325" i="3"/>
  <c r="J343" i="3"/>
  <c r="J331" i="3"/>
  <c r="J269" i="3"/>
  <c r="J337" i="3"/>
  <c r="I317" i="3"/>
  <c r="J309" i="3"/>
  <c r="J200" i="3"/>
  <c r="J307" i="3"/>
  <c r="I275" i="3"/>
  <c r="J335" i="3"/>
  <c r="I315" i="3"/>
  <c r="J263" i="3"/>
  <c r="J197" i="3"/>
  <c r="I327" i="3"/>
  <c r="J320" i="3"/>
  <c r="J272" i="3"/>
  <c r="I339" i="3"/>
  <c r="J312" i="3"/>
  <c r="J220" i="3"/>
  <c r="I109" i="3"/>
  <c r="I331" i="3"/>
  <c r="J326" i="3"/>
  <c r="J315" i="3"/>
  <c r="J128" i="3"/>
  <c r="J298" i="3"/>
  <c r="J289" i="3"/>
  <c r="I269" i="3"/>
  <c r="I351" i="3"/>
  <c r="J340" i="3"/>
  <c r="I335" i="3"/>
  <c r="J319" i="3"/>
  <c r="J306" i="3"/>
  <c r="J217" i="3"/>
  <c r="J329" i="3"/>
  <c r="J324" i="3"/>
  <c r="J226" i="3"/>
  <c r="J125" i="3"/>
  <c r="J266" i="3"/>
  <c r="J41" i="3"/>
  <c r="J333" i="3"/>
  <c r="J328" i="3"/>
  <c r="I323" i="3"/>
  <c r="J317" i="3"/>
  <c r="J303" i="3"/>
  <c r="J310" i="3"/>
  <c r="J131" i="3"/>
  <c r="J151" i="3"/>
  <c r="I107" i="3"/>
  <c r="J171" i="3"/>
  <c r="J111" i="3"/>
  <c r="J88" i="3"/>
  <c r="J24" i="3"/>
  <c r="L311" i="3"/>
  <c r="I94" i="3"/>
  <c r="J191" i="3"/>
  <c r="J148" i="3"/>
  <c r="J117" i="3"/>
  <c r="J55" i="3"/>
  <c r="J177" i="3"/>
  <c r="J168" i="3"/>
  <c r="I117" i="3"/>
  <c r="J85" i="3"/>
  <c r="I197" i="3"/>
  <c r="J109" i="3"/>
  <c r="I85" i="3"/>
  <c r="J154" i="3"/>
  <c r="J145" i="3"/>
  <c r="I203" i="3"/>
  <c r="J174" i="3"/>
  <c r="J114" i="3"/>
  <c r="J223" i="3"/>
  <c r="J194" i="3"/>
  <c r="J69" i="3"/>
  <c r="I409" i="3"/>
  <c r="I405" i="3"/>
  <c r="J82" i="3"/>
  <c r="I403" i="3"/>
  <c r="I379" i="3"/>
  <c r="I367" i="3"/>
  <c r="I355" i="3"/>
  <c r="I343" i="3"/>
  <c r="I319" i="3"/>
  <c r="I295" i="3"/>
  <c r="I223" i="3"/>
  <c r="I91" i="3"/>
  <c r="I67" i="3"/>
  <c r="I393" i="3"/>
  <c r="I397" i="3"/>
  <c r="I385" i="3"/>
  <c r="I349" i="3"/>
  <c r="I337" i="3"/>
  <c r="I325" i="3"/>
  <c r="I313" i="3"/>
  <c r="I229" i="3"/>
  <c r="I157" i="3"/>
  <c r="L782" i="3"/>
  <c r="J422" i="3"/>
  <c r="I381" i="3"/>
  <c r="I369" i="3"/>
  <c r="I357" i="3"/>
  <c r="I345" i="3"/>
  <c r="I333" i="3"/>
  <c r="I321" i="3"/>
  <c r="I309" i="3"/>
  <c r="I249" i="3"/>
  <c r="I177" i="3"/>
  <c r="I69" i="3"/>
  <c r="I33" i="3"/>
  <c r="L78" i="3"/>
  <c r="I255" i="3"/>
  <c r="I183" i="3"/>
  <c r="I400" i="3"/>
  <c r="I388" i="3"/>
  <c r="I376" i="3"/>
  <c r="I364" i="3"/>
  <c r="I352" i="3"/>
  <c r="I340" i="3"/>
  <c r="I328" i="3"/>
  <c r="I316" i="3"/>
  <c r="J58" i="3"/>
  <c r="I961" i="3"/>
  <c r="I959" i="3"/>
  <c r="L402" i="3"/>
  <c r="L390" i="3"/>
  <c r="L378" i="3"/>
  <c r="I354" i="3"/>
  <c r="I342" i="3"/>
  <c r="I330" i="3"/>
  <c r="I318" i="3"/>
  <c r="I875" i="3"/>
  <c r="L871" i="3"/>
  <c r="L865" i="3"/>
  <c r="I863" i="3"/>
  <c r="I813" i="3"/>
  <c r="J811" i="3"/>
  <c r="I47" i="3"/>
  <c r="I404" i="3"/>
  <c r="I392" i="3"/>
  <c r="I380" i="3"/>
  <c r="I368" i="3"/>
  <c r="I356" i="3"/>
  <c r="I344" i="3"/>
  <c r="J735" i="3"/>
  <c r="L674" i="3"/>
  <c r="I406" i="3"/>
  <c r="I394" i="3"/>
  <c r="I382" i="3"/>
  <c r="I370" i="3"/>
  <c r="I358" i="3"/>
  <c r="I346" i="3"/>
  <c r="I334" i="3"/>
  <c r="I322" i="3"/>
  <c r="I298" i="3"/>
  <c r="J44" i="3"/>
  <c r="I408" i="3"/>
  <c r="I396" i="3"/>
  <c r="I384" i="3"/>
  <c r="I372" i="3"/>
  <c r="L926" i="3"/>
  <c r="L842" i="3"/>
  <c r="J52" i="3"/>
  <c r="I410" i="3"/>
  <c r="I398" i="3"/>
  <c r="I386" i="3"/>
  <c r="I374" i="3"/>
  <c r="I998" i="3"/>
  <c r="I996" i="3"/>
  <c r="I994" i="3"/>
  <c r="L994" i="3"/>
  <c r="L992" i="3"/>
  <c r="I990" i="3"/>
  <c r="I955" i="3"/>
  <c r="L953" i="3"/>
  <c r="I953" i="3"/>
  <c r="L949" i="3"/>
  <c r="L943" i="3"/>
  <c r="I908" i="3"/>
  <c r="L908" i="3"/>
  <c r="I906" i="3"/>
  <c r="I904" i="3"/>
  <c r="I902" i="3"/>
  <c r="L902" i="3"/>
  <c r="I898" i="3"/>
  <c r="J896" i="3"/>
  <c r="I861" i="3"/>
  <c r="J859" i="3"/>
  <c r="I834" i="3"/>
  <c r="J832" i="3"/>
  <c r="I811" i="3"/>
  <c r="I784" i="3"/>
  <c r="L784" i="3"/>
  <c r="J721" i="3"/>
  <c r="I877" i="3"/>
  <c r="L877" i="3"/>
  <c r="I360" i="3"/>
  <c r="I348" i="3"/>
  <c r="I336" i="3"/>
  <c r="I324" i="3"/>
  <c r="I312" i="3"/>
  <c r="I945" i="3"/>
  <c r="I859" i="3"/>
  <c r="I832" i="3"/>
  <c r="L805" i="3"/>
  <c r="I803" i="3"/>
  <c r="J21" i="3"/>
  <c r="J419" i="3"/>
  <c r="J425" i="3"/>
  <c r="J434" i="3"/>
  <c r="J444" i="3"/>
  <c r="J447" i="3"/>
  <c r="J450" i="3"/>
  <c r="J476" i="3"/>
  <c r="J494" i="3"/>
  <c r="J507" i="3"/>
  <c r="J510" i="3"/>
  <c r="J526" i="3"/>
  <c r="J529" i="3"/>
  <c r="J536" i="3"/>
  <c r="J558" i="3"/>
  <c r="J571" i="3"/>
  <c r="J574" i="3"/>
  <c r="J589" i="3"/>
  <c r="J596" i="3"/>
  <c r="J599" i="3"/>
  <c r="J602" i="3"/>
  <c r="J630" i="3"/>
  <c r="J670" i="3"/>
  <c r="J698" i="3"/>
  <c r="J711" i="3"/>
  <c r="J717" i="3"/>
  <c r="J727" i="3"/>
  <c r="J730" i="3"/>
  <c r="J750" i="3"/>
  <c r="J753" i="3"/>
  <c r="J756" i="3"/>
  <c r="J412" i="3"/>
  <c r="J416" i="3"/>
  <c r="J431" i="3"/>
  <c r="J441" i="3"/>
  <c r="J456" i="3"/>
  <c r="J459" i="3"/>
  <c r="J466" i="3"/>
  <c r="J472" i="3"/>
  <c r="I475" i="3"/>
  <c r="J481" i="3"/>
  <c r="I488" i="3"/>
  <c r="J491" i="3"/>
  <c r="I497" i="3"/>
  <c r="J501" i="3"/>
  <c r="J513" i="3"/>
  <c r="J519" i="3"/>
  <c r="J545" i="3"/>
  <c r="J551" i="3"/>
  <c r="I561" i="3"/>
  <c r="I564" i="3"/>
  <c r="J580" i="3"/>
  <c r="I583" i="3"/>
  <c r="J586" i="3"/>
  <c r="J605" i="3"/>
  <c r="J611" i="3"/>
  <c r="J614" i="3"/>
  <c r="I617" i="3"/>
  <c r="J623" i="3"/>
  <c r="J626" i="3"/>
  <c r="I633" i="3"/>
  <c r="I636" i="3"/>
  <c r="I639" i="3"/>
  <c r="I648" i="3"/>
  <c r="I651" i="3"/>
  <c r="J673" i="3"/>
  <c r="J676" i="3"/>
  <c r="J701" i="3"/>
  <c r="J707" i="3"/>
  <c r="I720" i="3"/>
  <c r="I733" i="3"/>
  <c r="J737" i="3"/>
  <c r="J743" i="3"/>
  <c r="I415" i="3"/>
  <c r="I428" i="3"/>
  <c r="J437" i="3"/>
  <c r="J462" i="3"/>
  <c r="J475" i="3"/>
  <c r="J488" i="3"/>
  <c r="J497" i="3"/>
  <c r="J522" i="3"/>
  <c r="J532" i="3"/>
  <c r="I535" i="3"/>
  <c r="J538" i="3"/>
  <c r="J541" i="3"/>
  <c r="J554" i="3"/>
  <c r="J561" i="3"/>
  <c r="J564" i="3"/>
  <c r="I567" i="3"/>
  <c r="I576" i="3"/>
  <c r="J583" i="3"/>
  <c r="J592" i="3"/>
  <c r="I595" i="3"/>
  <c r="J617" i="3"/>
  <c r="J633" i="3"/>
  <c r="J636" i="3"/>
  <c r="J639" i="3"/>
  <c r="J642" i="3"/>
  <c r="J648" i="3"/>
  <c r="J651" i="3"/>
  <c r="J654" i="3"/>
  <c r="J657" i="3"/>
  <c r="I660" i="3"/>
  <c r="J666" i="3"/>
  <c r="I679" i="3"/>
  <c r="J682" i="3"/>
  <c r="J685" i="3"/>
  <c r="I688" i="3"/>
  <c r="I691" i="3"/>
  <c r="J704" i="3"/>
  <c r="I710" i="3"/>
  <c r="I713" i="3"/>
  <c r="J720" i="3"/>
  <c r="I723" i="3"/>
  <c r="J415" i="3"/>
  <c r="J421" i="3"/>
  <c r="J428" i="3"/>
  <c r="J446" i="3"/>
  <c r="J453" i="3"/>
  <c r="J478" i="3"/>
  <c r="J484" i="3"/>
  <c r="J503" i="3"/>
  <c r="J506" i="3"/>
  <c r="J515" i="3"/>
  <c r="J535" i="3"/>
  <c r="J548" i="3"/>
  <c r="J567" i="3"/>
  <c r="J570" i="3"/>
  <c r="J576" i="3"/>
  <c r="J595" i="3"/>
  <c r="J608" i="3"/>
  <c r="J660" i="3"/>
  <c r="J663" i="3"/>
  <c r="J679" i="3"/>
  <c r="J688" i="3"/>
  <c r="J691" i="3"/>
  <c r="J694" i="3"/>
  <c r="J697" i="3"/>
  <c r="J710" i="3"/>
  <c r="J713" i="3"/>
  <c r="J716" i="3"/>
  <c r="J723" i="3"/>
  <c r="J726" i="3"/>
  <c r="J746" i="3"/>
  <c r="J772" i="3"/>
  <c r="J775" i="3"/>
  <c r="J781" i="3"/>
  <c r="J784" i="3"/>
  <c r="J787" i="3"/>
  <c r="J797" i="3"/>
  <c r="J800" i="3"/>
  <c r="J803" i="3"/>
  <c r="I418" i="3"/>
  <c r="J424" i="3"/>
  <c r="I427" i="3"/>
  <c r="J433" i="3"/>
  <c r="J443" i="3"/>
  <c r="J449" i="3"/>
  <c r="J458" i="3"/>
  <c r="J468" i="3"/>
  <c r="J471" i="3"/>
  <c r="J487" i="3"/>
  <c r="J493" i="3"/>
  <c r="I500" i="3"/>
  <c r="J509" i="3"/>
  <c r="J518" i="3"/>
  <c r="J525" i="3"/>
  <c r="J528" i="3"/>
  <c r="I531" i="3"/>
  <c r="J557" i="3"/>
  <c r="J573" i="3"/>
  <c r="I579" i="3"/>
  <c r="J588" i="3"/>
  <c r="I591" i="3"/>
  <c r="J598" i="3"/>
  <c r="J601" i="3"/>
  <c r="J620" i="3"/>
  <c r="J629" i="3"/>
  <c r="J645" i="3"/>
  <c r="J669" i="3"/>
  <c r="I672" i="3"/>
  <c r="J706" i="3"/>
  <c r="J719" i="3"/>
  <c r="J411" i="3"/>
  <c r="J418" i="3"/>
  <c r="J427" i="3"/>
  <c r="J440" i="3"/>
  <c r="J455" i="3"/>
  <c r="I461" i="3"/>
  <c r="J465" i="3"/>
  <c r="J474" i="3"/>
  <c r="I480" i="3"/>
  <c r="I483" i="3"/>
  <c r="I490" i="3"/>
  <c r="J500" i="3"/>
  <c r="J531" i="3"/>
  <c r="J544" i="3"/>
  <c r="J550" i="3"/>
  <c r="J553" i="3"/>
  <c r="J579" i="3"/>
  <c r="J582" i="3"/>
  <c r="J591" i="3"/>
  <c r="J604" i="3"/>
  <c r="J613" i="3"/>
  <c r="J625" i="3"/>
  <c r="J672" i="3"/>
  <c r="J675" i="3"/>
  <c r="J678" i="3"/>
  <c r="J700" i="3"/>
  <c r="J729" i="3"/>
  <c r="J732" i="3"/>
  <c r="J742" i="3"/>
  <c r="J414" i="3"/>
  <c r="J430" i="3"/>
  <c r="J436" i="3"/>
  <c r="J461" i="3"/>
  <c r="J480" i="3"/>
  <c r="J483" i="3"/>
  <c r="J490" i="3"/>
  <c r="J496" i="3"/>
  <c r="I499" i="3"/>
  <c r="J512" i="3"/>
  <c r="J521" i="3"/>
  <c r="J534" i="3"/>
  <c r="J540" i="3"/>
  <c r="J547" i="3"/>
  <c r="J560" i="3"/>
  <c r="J563" i="3"/>
  <c r="J566" i="3"/>
  <c r="I569" i="3"/>
  <c r="J585" i="3"/>
  <c r="J594" i="3"/>
  <c r="J607" i="3"/>
  <c r="J610" i="3"/>
  <c r="J616" i="3"/>
  <c r="I619" i="3"/>
  <c r="J622" i="3"/>
  <c r="J632" i="3"/>
  <c r="J635" i="3"/>
  <c r="J638" i="3"/>
  <c r="J641" i="3"/>
  <c r="J647" i="3"/>
  <c r="J650" i="3"/>
  <c r="J653" i="3"/>
  <c r="J659" i="3"/>
  <c r="I662" i="3"/>
  <c r="J665" i="3"/>
  <c r="J668" i="3"/>
  <c r="I681" i="3"/>
  <c r="J684" i="3"/>
  <c r="I696" i="3"/>
  <c r="J703" i="3"/>
  <c r="J709" i="3"/>
  <c r="J439" i="3"/>
  <c r="J445" i="3"/>
  <c r="J452" i="3"/>
  <c r="J470" i="3"/>
  <c r="J486" i="3"/>
  <c r="J499" i="3"/>
  <c r="J505" i="3"/>
  <c r="J517" i="3"/>
  <c r="J537" i="3"/>
  <c r="J569" i="3"/>
  <c r="J575" i="3"/>
  <c r="J578" i="3"/>
  <c r="J619" i="3"/>
  <c r="J656" i="3"/>
  <c r="J662" i="3"/>
  <c r="J681" i="3"/>
  <c r="J687" i="3"/>
  <c r="J690" i="3"/>
  <c r="J696" i="3"/>
  <c r="J712" i="3"/>
  <c r="J715" i="3"/>
  <c r="J722" i="3"/>
  <c r="J725" i="3"/>
  <c r="J420" i="3"/>
  <c r="J423" i="3"/>
  <c r="J426" i="3"/>
  <c r="I432" i="3"/>
  <c r="I435" i="3"/>
  <c r="I442" i="3"/>
  <c r="J448" i="3"/>
  <c r="J457" i="3"/>
  <c r="J467" i="3"/>
  <c r="J477" i="3"/>
  <c r="I492" i="3"/>
  <c r="J502" i="3"/>
  <c r="J508" i="3"/>
  <c r="J514" i="3"/>
  <c r="J524" i="3"/>
  <c r="J527" i="3"/>
  <c r="J530" i="3"/>
  <c r="J543" i="3"/>
  <c r="I552" i="3"/>
  <c r="J556" i="3"/>
  <c r="I559" i="3"/>
  <c r="I581" i="3"/>
  <c r="J587" i="3"/>
  <c r="J590" i="3"/>
  <c r="J597" i="3"/>
  <c r="J600" i="3"/>
  <c r="I603" i="3"/>
  <c r="I612" i="3"/>
  <c r="I624" i="3"/>
  <c r="J628" i="3"/>
  <c r="I631" i="3"/>
  <c r="J644" i="3"/>
  <c r="J671" i="3"/>
  <c r="I674" i="3"/>
  <c r="I677" i="3"/>
  <c r="J693" i="3"/>
  <c r="J699" i="3"/>
  <c r="J718" i="3"/>
  <c r="J728" i="3"/>
  <c r="J731" i="3"/>
  <c r="I735" i="3"/>
  <c r="I413" i="3"/>
  <c r="J417" i="3"/>
  <c r="J432" i="3"/>
  <c r="J435" i="3"/>
  <c r="J442" i="3"/>
  <c r="J451" i="3"/>
  <c r="J464" i="3"/>
  <c r="J473" i="3"/>
  <c r="J482" i="3"/>
  <c r="J492" i="3"/>
  <c r="J495" i="3"/>
  <c r="J511" i="3"/>
  <c r="I533" i="3"/>
  <c r="I539" i="3"/>
  <c r="J546" i="3"/>
  <c r="J552" i="3"/>
  <c r="J559" i="3"/>
  <c r="I562" i="3"/>
  <c r="J572" i="3"/>
  <c r="J581" i="3"/>
  <c r="I593" i="3"/>
  <c r="J603" i="3"/>
  <c r="J606" i="3"/>
  <c r="J612" i="3"/>
  <c r="I615" i="3"/>
  <c r="J624" i="3"/>
  <c r="J631" i="3"/>
  <c r="I634" i="3"/>
  <c r="J658" i="3"/>
  <c r="I667" i="3"/>
  <c r="J674" i="3"/>
  <c r="J677" i="3"/>
  <c r="I683" i="3"/>
  <c r="J702" i="3"/>
  <c r="J413" i="3"/>
  <c r="J438" i="3"/>
  <c r="J454" i="3"/>
  <c r="J460" i="3"/>
  <c r="J479" i="3"/>
  <c r="J489" i="3"/>
  <c r="J498" i="3"/>
  <c r="J520" i="3"/>
  <c r="J533" i="3"/>
  <c r="J539" i="3"/>
  <c r="J542" i="3"/>
  <c r="J549" i="3"/>
  <c r="J562" i="3"/>
  <c r="J565" i="3"/>
  <c r="J593" i="3"/>
  <c r="J615" i="3"/>
  <c r="J618" i="3"/>
  <c r="J634" i="3"/>
  <c r="J637" i="3"/>
  <c r="J640" i="3"/>
  <c r="J649" i="3"/>
  <c r="J652" i="3"/>
  <c r="J664" i="3"/>
  <c r="J667" i="3"/>
  <c r="J683" i="3"/>
  <c r="J708" i="3"/>
  <c r="J741" i="3"/>
  <c r="J463" i="3"/>
  <c r="J523" i="3"/>
  <c r="J655" i="3"/>
  <c r="J680" i="3"/>
  <c r="I732" i="3"/>
  <c r="I755" i="3"/>
  <c r="J758" i="3"/>
  <c r="J770" i="3"/>
  <c r="I778" i="3"/>
  <c r="J793" i="3"/>
  <c r="J814" i="3"/>
  <c r="J823" i="3"/>
  <c r="J844" i="3"/>
  <c r="J862" i="3"/>
  <c r="J887" i="3"/>
  <c r="J902" i="3"/>
  <c r="J905" i="3"/>
  <c r="J908" i="3"/>
  <c r="J939" i="3"/>
  <c r="J946" i="3"/>
  <c r="J959" i="3"/>
  <c r="J974" i="3"/>
  <c r="J977" i="3"/>
  <c r="J981" i="3"/>
  <c r="J987" i="3"/>
  <c r="J990" i="3"/>
  <c r="J994" i="3"/>
  <c r="J997" i="3"/>
  <c r="J568" i="3"/>
  <c r="I599" i="3"/>
  <c r="J686" i="3"/>
  <c r="I725" i="3"/>
  <c r="J747" i="3"/>
  <c r="J755" i="3"/>
  <c r="J767" i="3"/>
  <c r="J778" i="3"/>
  <c r="I781" i="3"/>
  <c r="I796" i="3"/>
  <c r="J799" i="3"/>
  <c r="I817" i="3"/>
  <c r="J820" i="3"/>
  <c r="J840" i="3"/>
  <c r="I865" i="3"/>
  <c r="I868" i="3"/>
  <c r="I871" i="3"/>
  <c r="J874" i="3"/>
  <c r="J877" i="3"/>
  <c r="I880" i="3"/>
  <c r="I883" i="3"/>
  <c r="J899" i="3"/>
  <c r="I911" i="3"/>
  <c r="J914" i="3"/>
  <c r="J917" i="3"/>
  <c r="J920" i="3"/>
  <c r="J942" i="3"/>
  <c r="I949" i="3"/>
  <c r="M949" i="3" s="1"/>
  <c r="J953" i="3"/>
  <c r="J956" i="3"/>
  <c r="I963" i="3"/>
  <c r="J966" i="3"/>
  <c r="J970" i="3"/>
  <c r="J984" i="3"/>
  <c r="J469" i="3"/>
  <c r="J504" i="3"/>
  <c r="J661" i="3"/>
  <c r="J705" i="3"/>
  <c r="J744" i="3"/>
  <c r="J752" i="3"/>
  <c r="J796" i="3"/>
  <c r="J804" i="3"/>
  <c r="J817" i="3"/>
  <c r="J828" i="3"/>
  <c r="J852" i="3"/>
  <c r="J865" i="3"/>
  <c r="J868" i="3"/>
  <c r="J871" i="3"/>
  <c r="J880" i="3"/>
  <c r="J883" i="3"/>
  <c r="J911" i="3"/>
  <c r="J926" i="3"/>
  <c r="J929" i="3"/>
  <c r="J932" i="3"/>
  <c r="J949" i="3"/>
  <c r="J963" i="3"/>
  <c r="I444" i="3"/>
  <c r="I574" i="3"/>
  <c r="J692" i="3"/>
  <c r="I727" i="3"/>
  <c r="J734" i="3"/>
  <c r="I757" i="3"/>
  <c r="I760" i="3"/>
  <c r="J763" i="3"/>
  <c r="J766" i="3"/>
  <c r="I772" i="3"/>
  <c r="I786" i="3"/>
  <c r="J789" i="3"/>
  <c r="J801" i="3"/>
  <c r="J807" i="3"/>
  <c r="J810" i="3"/>
  <c r="J813" i="3"/>
  <c r="I822" i="3"/>
  <c r="J825" i="3"/>
  <c r="J831" i="3"/>
  <c r="J834" i="3"/>
  <c r="J837" i="3"/>
  <c r="J846" i="3"/>
  <c r="J849" i="3"/>
  <c r="J855" i="3"/>
  <c r="J858" i="3"/>
  <c r="J861" i="3"/>
  <c r="I886" i="3"/>
  <c r="J889" i="3"/>
  <c r="I892" i="3"/>
  <c r="J895" i="3"/>
  <c r="I901" i="3"/>
  <c r="I907" i="3"/>
  <c r="J923" i="3"/>
  <c r="J935" i="3"/>
  <c r="J938" i="3"/>
  <c r="J945" i="3"/>
  <c r="J952" i="3"/>
  <c r="J958" i="3"/>
  <c r="I969" i="3"/>
  <c r="J973" i="3"/>
  <c r="I976" i="3"/>
  <c r="J980" i="3"/>
  <c r="I986" i="3"/>
  <c r="J989" i="3"/>
  <c r="I993" i="3"/>
  <c r="I999" i="3"/>
  <c r="J609" i="3"/>
  <c r="I711" i="3"/>
  <c r="J739" i="3"/>
  <c r="J749" i="3"/>
  <c r="J754" i="3"/>
  <c r="J757" i="3"/>
  <c r="J760" i="3"/>
  <c r="J769" i="3"/>
  <c r="J786" i="3"/>
  <c r="J792" i="3"/>
  <c r="J822" i="3"/>
  <c r="J843" i="3"/>
  <c r="J886" i="3"/>
  <c r="J892" i="3"/>
  <c r="J901" i="3"/>
  <c r="J907" i="3"/>
  <c r="J962" i="3"/>
  <c r="J969" i="3"/>
  <c r="J976" i="3"/>
  <c r="J986" i="3"/>
  <c r="J993" i="3"/>
  <c r="J999" i="3"/>
  <c r="J516" i="3"/>
  <c r="J555" i="3"/>
  <c r="J646" i="3"/>
  <c r="I698" i="3"/>
  <c r="I746" i="3"/>
  <c r="I765" i="3"/>
  <c r="J777" i="3"/>
  <c r="J780" i="3"/>
  <c r="J783" i="3"/>
  <c r="J798" i="3"/>
  <c r="J819" i="3"/>
  <c r="I839" i="3"/>
  <c r="I851" i="3"/>
  <c r="I870" i="3"/>
  <c r="J873" i="3"/>
  <c r="J876" i="3"/>
  <c r="I882" i="3"/>
  <c r="J898" i="3"/>
  <c r="J904" i="3"/>
  <c r="I910" i="3"/>
  <c r="J913" i="3"/>
  <c r="I916" i="3"/>
  <c r="J919" i="3"/>
  <c r="I925" i="3"/>
  <c r="I931" i="3"/>
  <c r="J941" i="3"/>
  <c r="J944" i="3"/>
  <c r="I948" i="3"/>
  <c r="J955" i="3"/>
  <c r="J965" i="3"/>
  <c r="I968" i="3"/>
  <c r="I979" i="3"/>
  <c r="J983" i="3"/>
  <c r="J996" i="3"/>
  <c r="I425" i="3"/>
  <c r="J485" i="3"/>
  <c r="J584" i="3"/>
  <c r="J621" i="3"/>
  <c r="I715" i="3"/>
  <c r="J724" i="3"/>
  <c r="J736" i="3"/>
  <c r="I741" i="3"/>
  <c r="J751" i="3"/>
  <c r="I762" i="3"/>
  <c r="J765" i="3"/>
  <c r="I774" i="3"/>
  <c r="J795" i="3"/>
  <c r="J816" i="3"/>
  <c r="I827" i="3"/>
  <c r="J830" i="3"/>
  <c r="J839" i="3"/>
  <c r="J851" i="3"/>
  <c r="J864" i="3"/>
  <c r="J867" i="3"/>
  <c r="J870" i="3"/>
  <c r="J879" i="3"/>
  <c r="J882" i="3"/>
  <c r="I894" i="3"/>
  <c r="J910" i="3"/>
  <c r="J916" i="3"/>
  <c r="I922" i="3"/>
  <c r="J925" i="3"/>
  <c r="I928" i="3"/>
  <c r="J931" i="3"/>
  <c r="I934" i="3"/>
  <c r="I937" i="3"/>
  <c r="J948" i="3"/>
  <c r="J951" i="3"/>
  <c r="J968" i="3"/>
  <c r="J972" i="3"/>
  <c r="J979" i="3"/>
  <c r="J429" i="3"/>
  <c r="I526" i="3"/>
  <c r="J733" i="3"/>
  <c r="J762" i="3"/>
  <c r="J774" i="3"/>
  <c r="J788" i="3"/>
  <c r="J806" i="3"/>
  <c r="J809" i="3"/>
  <c r="J812" i="3"/>
  <c r="J827" i="3"/>
  <c r="J833" i="3"/>
  <c r="J836" i="3"/>
  <c r="J842" i="3"/>
  <c r="J848" i="3"/>
  <c r="J854" i="3"/>
  <c r="J857" i="3"/>
  <c r="J860" i="3"/>
  <c r="J885" i="3"/>
  <c r="J888" i="3"/>
  <c r="J894" i="3"/>
  <c r="J922" i="3"/>
  <c r="J928" i="3"/>
  <c r="J934" i="3"/>
  <c r="J937" i="3"/>
  <c r="J992" i="3"/>
  <c r="I571" i="3"/>
  <c r="J627" i="3"/>
  <c r="J689" i="3"/>
  <c r="J738" i="3"/>
  <c r="J759" i="3"/>
  <c r="J768" i="3"/>
  <c r="J771" i="3"/>
  <c r="J785" i="3"/>
  <c r="I791" i="3"/>
  <c r="J821" i="3"/>
  <c r="J824" i="3"/>
  <c r="J845" i="3"/>
  <c r="J891" i="3"/>
  <c r="J897" i="3"/>
  <c r="J900" i="3"/>
  <c r="J906" i="3"/>
  <c r="I918" i="3"/>
  <c r="I940" i="3"/>
  <c r="I943" i="3"/>
  <c r="M943" i="3" s="1"/>
  <c r="I947" i="3"/>
  <c r="I954" i="3"/>
  <c r="J957" i="3"/>
  <c r="J961" i="3"/>
  <c r="J975" i="3"/>
  <c r="J978" i="3"/>
  <c r="J982" i="3"/>
  <c r="J985" i="3"/>
  <c r="J988" i="3"/>
  <c r="I995" i="3"/>
  <c r="J998" i="3"/>
  <c r="I507" i="3"/>
  <c r="I670" i="3"/>
  <c r="I708" i="3"/>
  <c r="J745" i="3"/>
  <c r="J748" i="3"/>
  <c r="J782" i="3"/>
  <c r="J791" i="3"/>
  <c r="J794" i="3"/>
  <c r="J818" i="3"/>
  <c r="J878" i="3"/>
  <c r="J903" i="3"/>
  <c r="J909" i="3"/>
  <c r="J912" i="3"/>
  <c r="J918" i="3"/>
  <c r="J940" i="3"/>
  <c r="J943" i="3"/>
  <c r="J947" i="3"/>
  <c r="J954" i="3"/>
  <c r="J967" i="3"/>
  <c r="J995" i="3"/>
  <c r="I447" i="3"/>
  <c r="I476" i="3"/>
  <c r="J577" i="3"/>
  <c r="J643" i="3"/>
  <c r="J695" i="3"/>
  <c r="J764" i="3"/>
  <c r="J776" i="3"/>
  <c r="J779" i="3"/>
  <c r="J805" i="3"/>
  <c r="J815" i="3"/>
  <c r="J829" i="3"/>
  <c r="J838" i="3"/>
  <c r="J841" i="3"/>
  <c r="J850" i="3"/>
  <c r="J863" i="3"/>
  <c r="J866" i="3"/>
  <c r="J869" i="3"/>
  <c r="J872" i="3"/>
  <c r="J875" i="3"/>
  <c r="J881" i="3"/>
  <c r="J884" i="3"/>
  <c r="J915" i="3"/>
  <c r="J921" i="3"/>
  <c r="J924" i="3"/>
  <c r="J930" i="3"/>
  <c r="J933" i="3"/>
  <c r="J950" i="3"/>
  <c r="J960" i="3"/>
  <c r="J964" i="3"/>
  <c r="J971" i="3"/>
  <c r="J991" i="3"/>
  <c r="L984" i="3"/>
  <c r="I984" i="3"/>
  <c r="L982" i="3"/>
  <c r="J890" i="3"/>
  <c r="J853" i="3"/>
  <c r="L818" i="3"/>
  <c r="I799" i="3"/>
  <c r="L799" i="3"/>
  <c r="L772" i="3"/>
  <c r="I770" i="3"/>
  <c r="L770" i="3"/>
  <c r="I766" i="3"/>
  <c r="I362" i="3"/>
  <c r="I350" i="3"/>
  <c r="I338" i="3"/>
  <c r="I326" i="3"/>
  <c r="I278" i="3"/>
  <c r="I206" i="3"/>
  <c r="I939" i="3"/>
  <c r="L939" i="3"/>
  <c r="L937" i="3"/>
  <c r="L878" i="3"/>
  <c r="I853" i="3"/>
  <c r="I849" i="3"/>
  <c r="J847" i="3"/>
  <c r="L820" i="3"/>
  <c r="I820" i="3"/>
  <c r="M820" i="3" s="1"/>
  <c r="I793" i="3"/>
  <c r="I758" i="3"/>
  <c r="L758" i="3"/>
  <c r="L655" i="3"/>
  <c r="I653" i="3"/>
  <c r="L511" i="3"/>
  <c r="I978" i="3"/>
  <c r="I974" i="3"/>
  <c r="I935" i="3"/>
  <c r="J927" i="3"/>
  <c r="L909" i="3"/>
  <c r="L880" i="3"/>
  <c r="I847" i="3"/>
  <c r="I814" i="3"/>
  <c r="J740" i="3"/>
  <c r="L523" i="3"/>
  <c r="I521" i="3"/>
  <c r="I519" i="3"/>
  <c r="L519" i="3"/>
  <c r="I292" i="3"/>
  <c r="I220" i="3"/>
  <c r="I148" i="3"/>
  <c r="I966" i="3"/>
  <c r="L966" i="3"/>
  <c r="I964" i="3"/>
  <c r="L962" i="3"/>
  <c r="L960" i="3"/>
  <c r="I923" i="3"/>
  <c r="I919" i="3"/>
  <c r="I913" i="3"/>
  <c r="L868" i="3"/>
  <c r="I862" i="3"/>
  <c r="L841" i="3"/>
  <c r="I837" i="3"/>
  <c r="J835" i="3"/>
  <c r="I789" i="3"/>
  <c r="I787" i="3"/>
  <c r="L463" i="3"/>
  <c r="I459" i="3"/>
  <c r="L459" i="3"/>
  <c r="I151" i="3"/>
  <c r="I131" i="3"/>
  <c r="J91" i="3"/>
  <c r="L354" i="3"/>
  <c r="I997" i="3"/>
  <c r="L991" i="3"/>
  <c r="I952" i="3"/>
  <c r="L905" i="3"/>
  <c r="L899" i="3"/>
  <c r="I899" i="3"/>
  <c r="L897" i="3"/>
  <c r="I835" i="3"/>
  <c r="I810" i="3"/>
  <c r="J808" i="3"/>
  <c r="L366" i="3"/>
  <c r="I306" i="3"/>
  <c r="L294" i="3"/>
  <c r="L282" i="3"/>
  <c r="L270" i="3"/>
  <c r="I987" i="3"/>
  <c r="I946" i="3"/>
  <c r="M946" i="3" s="1"/>
  <c r="L946" i="3"/>
  <c r="L940" i="3"/>
  <c r="I895" i="3"/>
  <c r="J893" i="3"/>
  <c r="I858" i="3"/>
  <c r="J856" i="3"/>
  <c r="L829" i="3"/>
  <c r="I808" i="3"/>
  <c r="L806" i="3"/>
  <c r="J802" i="3"/>
  <c r="L794" i="3"/>
  <c r="I779" i="3"/>
  <c r="I775" i="3"/>
  <c r="J773" i="3"/>
  <c r="J714" i="3"/>
  <c r="L507" i="3"/>
  <c r="L571" i="3"/>
  <c r="L698" i="3"/>
  <c r="L412" i="3"/>
  <c r="L462" i="3"/>
  <c r="L475" i="3"/>
  <c r="L488" i="3"/>
  <c r="L497" i="3"/>
  <c r="L522" i="3"/>
  <c r="L541" i="3"/>
  <c r="L554" i="3"/>
  <c r="L564" i="3"/>
  <c r="L583" i="3"/>
  <c r="L617" i="3"/>
  <c r="L636" i="3"/>
  <c r="L639" i="3"/>
  <c r="L642" i="3"/>
  <c r="L648" i="3"/>
  <c r="L651" i="3"/>
  <c r="L654" i="3"/>
  <c r="L685" i="3"/>
  <c r="L415" i="3"/>
  <c r="L428" i="3"/>
  <c r="L446" i="3"/>
  <c r="L506" i="3"/>
  <c r="L535" i="3"/>
  <c r="L567" i="3"/>
  <c r="L576" i="3"/>
  <c r="L595" i="3"/>
  <c r="L660" i="3"/>
  <c r="L679" i="3"/>
  <c r="L691" i="3"/>
  <c r="L710" i="3"/>
  <c r="L713" i="3"/>
  <c r="L433" i="3"/>
  <c r="L449" i="3"/>
  <c r="L458" i="3"/>
  <c r="L471" i="3"/>
  <c r="L487" i="3"/>
  <c r="L493" i="3"/>
  <c r="L509" i="3"/>
  <c r="L518" i="3"/>
  <c r="L528" i="3"/>
  <c r="L557" i="3"/>
  <c r="L588" i="3"/>
  <c r="L601" i="3"/>
  <c r="L629" i="3"/>
  <c r="L706" i="3"/>
  <c r="L411" i="3"/>
  <c r="L427" i="3"/>
  <c r="L440" i="3"/>
  <c r="L474" i="3"/>
  <c r="L500" i="3"/>
  <c r="L531" i="3"/>
  <c r="L579" i="3"/>
  <c r="L591" i="3"/>
  <c r="L672" i="3"/>
  <c r="L732" i="3"/>
  <c r="L414" i="3"/>
  <c r="L461" i="3"/>
  <c r="L483" i="3"/>
  <c r="L534" i="3"/>
  <c r="L566" i="3"/>
  <c r="L439" i="3"/>
  <c r="L445" i="3"/>
  <c r="L452" i="3"/>
  <c r="L470" i="3"/>
  <c r="L486" i="3"/>
  <c r="L499" i="3"/>
  <c r="L505" i="3"/>
  <c r="L517" i="3"/>
  <c r="L569" i="3"/>
  <c r="L578" i="3"/>
  <c r="L619" i="3"/>
  <c r="L662" i="3"/>
  <c r="L696" i="3"/>
  <c r="L423" i="3"/>
  <c r="L426" i="3"/>
  <c r="L457" i="3"/>
  <c r="L699" i="3"/>
  <c r="L728" i="3"/>
  <c r="L451" i="3"/>
  <c r="L482" i="3"/>
  <c r="L581" i="3"/>
  <c r="L612" i="3"/>
  <c r="L921" i="3"/>
  <c r="L787" i="3"/>
  <c r="L790" i="3"/>
  <c r="L802" i="3"/>
  <c r="L808" i="3"/>
  <c r="L811" i="3"/>
  <c r="L832" i="3"/>
  <c r="L835" i="3"/>
  <c r="L847" i="3"/>
  <c r="L853" i="3"/>
  <c r="L856" i="3"/>
  <c r="L859" i="3"/>
  <c r="L890" i="3"/>
  <c r="L896" i="3"/>
  <c r="L624" i="3"/>
  <c r="L793" i="3"/>
  <c r="L814" i="3"/>
  <c r="L823" i="3"/>
  <c r="L844" i="3"/>
  <c r="L862" i="3"/>
  <c r="L959" i="3"/>
  <c r="L981" i="3"/>
  <c r="L987" i="3"/>
  <c r="L990" i="3"/>
  <c r="L603" i="3"/>
  <c r="L725" i="3"/>
  <c r="L778" i="3"/>
  <c r="L781" i="3"/>
  <c r="L840" i="3"/>
  <c r="L874" i="3"/>
  <c r="L914" i="3"/>
  <c r="L920" i="3"/>
  <c r="L970" i="3"/>
  <c r="L473" i="3"/>
  <c r="L720" i="3"/>
  <c r="L727" i="3"/>
  <c r="L958" i="3"/>
  <c r="L980" i="3"/>
  <c r="L989" i="3"/>
  <c r="L677" i="3"/>
  <c r="L749" i="3"/>
  <c r="L754" i="3"/>
  <c r="L757" i="3"/>
  <c r="L901" i="3"/>
  <c r="L907" i="3"/>
  <c r="L969" i="3"/>
  <c r="L976" i="3"/>
  <c r="L993" i="3"/>
  <c r="L999" i="3"/>
  <c r="L559" i="3"/>
  <c r="L746" i="3"/>
  <c r="L780" i="3"/>
  <c r="L873" i="3"/>
  <c r="L944" i="3"/>
  <c r="L464" i="3"/>
  <c r="L495" i="3"/>
  <c r="L658" i="3"/>
  <c r="L702" i="3"/>
  <c r="L715" i="3"/>
  <c r="L736" i="3"/>
  <c r="L751" i="3"/>
  <c r="L765" i="3"/>
  <c r="L830" i="3"/>
  <c r="L925" i="3"/>
  <c r="L931" i="3"/>
  <c r="L951" i="3"/>
  <c r="L968" i="3"/>
  <c r="L972" i="3"/>
  <c r="L979" i="3"/>
  <c r="L435" i="3"/>
  <c r="L733" i="3"/>
  <c r="L756" i="3"/>
  <c r="L546" i="3"/>
  <c r="L606" i="3"/>
  <c r="L631" i="3"/>
  <c r="L719" i="3"/>
  <c r="L738" i="3"/>
  <c r="L768" i="3"/>
  <c r="L222" i="3"/>
  <c r="I983" i="3"/>
  <c r="I981" i="3"/>
  <c r="L942" i="3"/>
  <c r="I942" i="3"/>
  <c r="I856" i="3"/>
  <c r="L854" i="3"/>
  <c r="L825" i="3"/>
  <c r="I823" i="3"/>
  <c r="I802" i="3"/>
  <c r="M802" i="3" s="1"/>
  <c r="I798" i="3"/>
  <c r="L796" i="3"/>
  <c r="L767" i="3"/>
  <c r="I767" i="3"/>
  <c r="I763" i="3"/>
  <c r="J761" i="3"/>
  <c r="L745" i="3"/>
  <c r="L678" i="3"/>
  <c r="L552" i="3"/>
  <c r="I332" i="3"/>
  <c r="I320" i="3"/>
  <c r="I272" i="3"/>
  <c r="L967" i="3"/>
  <c r="L938" i="3"/>
  <c r="J936" i="3"/>
  <c r="I889" i="3"/>
  <c r="I887" i="3"/>
  <c r="L852" i="3"/>
  <c r="I753" i="3"/>
  <c r="L614" i="3"/>
  <c r="I558" i="3"/>
  <c r="L558" i="3"/>
  <c r="L977" i="3"/>
  <c r="I975" i="3"/>
  <c r="I973" i="3"/>
  <c r="L971" i="3"/>
  <c r="I936" i="3"/>
  <c r="L932" i="3"/>
  <c r="I930" i="3"/>
  <c r="L885" i="3"/>
  <c r="L883" i="3"/>
  <c r="I844" i="3"/>
  <c r="I815" i="3"/>
  <c r="J790" i="3"/>
  <c r="I252" i="3"/>
  <c r="I180" i="3"/>
  <c r="I120" i="3"/>
  <c r="I24" i="3"/>
  <c r="L978" i="3"/>
  <c r="L961" i="3"/>
  <c r="I896" i="3"/>
  <c r="L893" i="3"/>
  <c r="I890" i="3"/>
  <c r="L887" i="3"/>
  <c r="I826" i="3"/>
  <c r="I790" i="3"/>
  <c r="L712" i="3"/>
  <c r="L697" i="3"/>
  <c r="L676" i="3"/>
  <c r="I676" i="3"/>
  <c r="I645" i="3"/>
  <c r="I451" i="3"/>
  <c r="M451" i="3" s="1"/>
  <c r="I449" i="3"/>
  <c r="I420" i="3"/>
  <c r="I416" i="3"/>
  <c r="L416" i="3"/>
  <c r="I991" i="3"/>
  <c r="I971" i="3"/>
  <c r="I960" i="3"/>
  <c r="M960" i="3" s="1"/>
  <c r="I950" i="3"/>
  <c r="L936" i="3"/>
  <c r="I933" i="3"/>
  <c r="I924" i="3"/>
  <c r="I921" i="3"/>
  <c r="M921" i="3" s="1"/>
  <c r="I884" i="3"/>
  <c r="I866" i="3"/>
  <c r="L850" i="3"/>
  <c r="I841" i="3"/>
  <c r="I838" i="3"/>
  <c r="I829" i="3"/>
  <c r="I805" i="3"/>
  <c r="I695" i="3"/>
  <c r="L643" i="3"/>
  <c r="I641" i="3"/>
  <c r="I635" i="3"/>
  <c r="I511" i="3"/>
  <c r="M511" i="3" s="1"/>
  <c r="I509" i="3"/>
  <c r="L476" i="3"/>
  <c r="L447" i="3"/>
  <c r="I134" i="3"/>
  <c r="I967" i="3"/>
  <c r="L964" i="3"/>
  <c r="L930" i="3"/>
  <c r="I912" i="3"/>
  <c r="I909" i="3"/>
  <c r="M909" i="3" s="1"/>
  <c r="I878" i="3"/>
  <c r="L875" i="3"/>
  <c r="L863" i="3"/>
  <c r="I818" i="3"/>
  <c r="M818" i="3" s="1"/>
  <c r="L815" i="3"/>
  <c r="I794" i="3"/>
  <c r="M794" i="3" s="1"/>
  <c r="I782" i="3"/>
  <c r="M782" i="3" s="1"/>
  <c r="L779" i="3"/>
  <c r="L753" i="3"/>
  <c r="I745" i="3"/>
  <c r="I726" i="3"/>
  <c r="L726" i="3"/>
  <c r="I719" i="3"/>
  <c r="L717" i="3"/>
  <c r="L708" i="3"/>
  <c r="L668" i="3"/>
  <c r="I629" i="3"/>
  <c r="I439" i="3"/>
  <c r="I437" i="3"/>
  <c r="L995" i="3"/>
  <c r="L988" i="3"/>
  <c r="I985" i="3"/>
  <c r="I982" i="3"/>
  <c r="M982" i="3" s="1"/>
  <c r="L957" i="3"/>
  <c r="L955" i="3"/>
  <c r="L954" i="3"/>
  <c r="L947" i="3"/>
  <c r="L919" i="3"/>
  <c r="L918" i="3"/>
  <c r="L913" i="3"/>
  <c r="I900" i="3"/>
  <c r="I897" i="3"/>
  <c r="M897" i="3" s="1"/>
  <c r="I771" i="3"/>
  <c r="I756" i="3"/>
  <c r="M756" i="3" s="1"/>
  <c r="L689" i="3"/>
  <c r="L627" i="3"/>
  <c r="L625" i="3"/>
  <c r="I602" i="3"/>
  <c r="L602" i="3"/>
  <c r="I600" i="3"/>
  <c r="I540" i="3"/>
  <c r="L530" i="3"/>
  <c r="I528" i="3"/>
  <c r="M528" i="3" s="1"/>
  <c r="I468" i="3"/>
  <c r="L466" i="3"/>
  <c r="I466" i="3"/>
  <c r="I88" i="3"/>
  <c r="L998" i="3"/>
  <c r="I992" i="3"/>
  <c r="M992" i="3" s="1"/>
  <c r="L975" i="3"/>
  <c r="L906" i="3"/>
  <c r="I888" i="3"/>
  <c r="I885" i="3"/>
  <c r="M885" i="3" s="1"/>
  <c r="I854" i="3"/>
  <c r="M854" i="3" s="1"/>
  <c r="I842" i="3"/>
  <c r="M842" i="3" s="1"/>
  <c r="I806" i="3"/>
  <c r="M806" i="3" s="1"/>
  <c r="L803" i="3"/>
  <c r="I743" i="3"/>
  <c r="L743" i="3"/>
  <c r="I598" i="3"/>
  <c r="L594" i="3"/>
  <c r="L590" i="3"/>
  <c r="I588" i="3"/>
  <c r="M588" i="3" s="1"/>
  <c r="I563" i="3"/>
  <c r="I495" i="3"/>
  <c r="I487" i="3"/>
  <c r="I464" i="3"/>
  <c r="L973" i="3"/>
  <c r="I972" i="3"/>
  <c r="M972" i="3" s="1"/>
  <c r="L952" i="3"/>
  <c r="I951" i="3"/>
  <c r="L945" i="3"/>
  <c r="L934" i="3"/>
  <c r="L928" i="3"/>
  <c r="L922" i="3"/>
  <c r="L895" i="3"/>
  <c r="L894" i="3"/>
  <c r="L889" i="3"/>
  <c r="I864" i="3"/>
  <c r="L861" i="3"/>
  <c r="I830" i="3"/>
  <c r="L827" i="3"/>
  <c r="I816" i="3"/>
  <c r="L813" i="3"/>
  <c r="I795" i="3"/>
  <c r="L789" i="3"/>
  <c r="L774" i="3"/>
  <c r="L766" i="3"/>
  <c r="I751" i="3"/>
  <c r="I731" i="3"/>
  <c r="L731" i="3"/>
  <c r="L729" i="3"/>
  <c r="L724" i="3"/>
  <c r="I724" i="3"/>
  <c r="L615" i="3"/>
  <c r="L613" i="3"/>
  <c r="L582" i="3"/>
  <c r="I557" i="3"/>
  <c r="M557" i="3" s="1"/>
  <c r="L485" i="3"/>
  <c r="L456" i="3"/>
  <c r="I456" i="3"/>
  <c r="I452" i="3"/>
  <c r="M452" i="3" s="1"/>
  <c r="L425" i="3"/>
  <c r="I423" i="3"/>
  <c r="L258" i="3"/>
  <c r="L246" i="3"/>
  <c r="L234" i="3"/>
  <c r="L210" i="3"/>
  <c r="L198" i="3"/>
  <c r="L186" i="3"/>
  <c r="I174" i="3"/>
  <c r="L162" i="3"/>
  <c r="L150" i="3"/>
  <c r="L138" i="3"/>
  <c r="L126" i="3"/>
  <c r="L114" i="3"/>
  <c r="L102" i="3"/>
  <c r="L90" i="3"/>
  <c r="L66" i="3"/>
  <c r="L54" i="3"/>
  <c r="L42" i="3"/>
  <c r="L30" i="3"/>
  <c r="L18" i="3"/>
  <c r="L6" i="3"/>
  <c r="L965" i="3"/>
  <c r="L948" i="3"/>
  <c r="I944" i="3"/>
  <c r="M944" i="3" s="1"/>
  <c r="L941" i="3"/>
  <c r="L916" i="3"/>
  <c r="L910" i="3"/>
  <c r="L882" i="3"/>
  <c r="I876" i="3"/>
  <c r="I873" i="3"/>
  <c r="M873" i="3" s="1"/>
  <c r="L870" i="3"/>
  <c r="L851" i="3"/>
  <c r="L839" i="3"/>
  <c r="I783" i="3"/>
  <c r="I780" i="3"/>
  <c r="I777" i="3"/>
  <c r="L775" i="3"/>
  <c r="L555" i="3"/>
  <c r="L553" i="3"/>
  <c r="L516" i="3"/>
  <c r="L481" i="3"/>
  <c r="I450" i="3"/>
  <c r="L450" i="3"/>
  <c r="L421" i="3"/>
  <c r="L413" i="3"/>
  <c r="L996" i="3"/>
  <c r="L983" i="3"/>
  <c r="I962" i="3"/>
  <c r="L904" i="3"/>
  <c r="L898" i="3"/>
  <c r="L798" i="3"/>
  <c r="I792" i="3"/>
  <c r="I769" i="3"/>
  <c r="L769" i="3"/>
  <c r="I754" i="3"/>
  <c r="I749" i="3"/>
  <c r="M749" i="3" s="1"/>
  <c r="I739" i="3"/>
  <c r="L739" i="3"/>
  <c r="L709" i="3"/>
  <c r="I671" i="3"/>
  <c r="I609" i="3"/>
  <c r="I607" i="3"/>
  <c r="L551" i="3"/>
  <c r="I551" i="3"/>
  <c r="I547" i="3"/>
  <c r="I510" i="3"/>
  <c r="L510" i="3"/>
  <c r="I200" i="3"/>
  <c r="I44" i="3"/>
  <c r="I989" i="3"/>
  <c r="L986" i="3"/>
  <c r="I980" i="3"/>
  <c r="I958" i="3"/>
  <c r="M958" i="3" s="1"/>
  <c r="I938" i="3"/>
  <c r="M938" i="3" s="1"/>
  <c r="L892" i="3"/>
  <c r="L886" i="3"/>
  <c r="L846" i="3"/>
  <c r="I825" i="3"/>
  <c r="L822" i="3"/>
  <c r="I801" i="3"/>
  <c r="L786" i="3"/>
  <c r="L760" i="3"/>
  <c r="L734" i="3"/>
  <c r="I734" i="3"/>
  <c r="L718" i="3"/>
  <c r="I718" i="3"/>
  <c r="M718" i="3" s="1"/>
  <c r="L707" i="3"/>
  <c r="I707" i="3"/>
  <c r="I669" i="3"/>
  <c r="L667" i="3"/>
  <c r="I665" i="3"/>
  <c r="I630" i="3"/>
  <c r="L630" i="3"/>
  <c r="I605" i="3"/>
  <c r="L605" i="3"/>
  <c r="I545" i="3"/>
  <c r="L545" i="3"/>
  <c r="I473" i="3"/>
  <c r="M473" i="3" s="1"/>
  <c r="I471" i="3"/>
  <c r="M471" i="3" s="1"/>
  <c r="I440" i="3"/>
  <c r="L935" i="3"/>
  <c r="I932" i="3"/>
  <c r="L929" i="3"/>
  <c r="I926" i="3"/>
  <c r="M926" i="3" s="1"/>
  <c r="L923" i="3"/>
  <c r="L858" i="3"/>
  <c r="I852" i="3"/>
  <c r="M852" i="3" s="1"/>
  <c r="L849" i="3"/>
  <c r="L837" i="3"/>
  <c r="L834" i="3"/>
  <c r="I828" i="3"/>
  <c r="L810" i="3"/>
  <c r="I804" i="3"/>
  <c r="L763" i="3"/>
  <c r="L744" i="3"/>
  <c r="I744" i="3"/>
  <c r="I737" i="3"/>
  <c r="L737" i="3"/>
  <c r="L716" i="3"/>
  <c r="I703" i="3"/>
  <c r="I659" i="3"/>
  <c r="L626" i="3"/>
  <c r="L570" i="3"/>
  <c r="I543" i="3"/>
  <c r="L533" i="3"/>
  <c r="I529" i="3"/>
  <c r="L529" i="3"/>
  <c r="I527" i="3"/>
  <c r="L504" i="3"/>
  <c r="I434" i="3"/>
  <c r="L434" i="3"/>
  <c r="I226" i="3"/>
  <c r="I154" i="3"/>
  <c r="I970" i="3"/>
  <c r="M970" i="3" s="1"/>
  <c r="L963" i="3"/>
  <c r="I956" i="3"/>
  <c r="L950" i="3"/>
  <c r="L933" i="3"/>
  <c r="I920" i="3"/>
  <c r="M920" i="3" s="1"/>
  <c r="L917" i="3"/>
  <c r="I914" i="3"/>
  <c r="L911" i="3"/>
  <c r="L884" i="3"/>
  <c r="I874" i="3"/>
  <c r="M874" i="3" s="1"/>
  <c r="L866" i="3"/>
  <c r="I840" i="3"/>
  <c r="M840" i="3" s="1"/>
  <c r="L817" i="3"/>
  <c r="I701" i="3"/>
  <c r="L701" i="3"/>
  <c r="L686" i="3"/>
  <c r="I684" i="3"/>
  <c r="I597" i="3"/>
  <c r="L593" i="3"/>
  <c r="I589" i="3"/>
  <c r="L589" i="3"/>
  <c r="I525" i="3"/>
  <c r="I494" i="3"/>
  <c r="L494" i="3"/>
  <c r="I747" i="3"/>
  <c r="I721" i="3"/>
  <c r="I714" i="3"/>
  <c r="L711" i="3"/>
  <c r="I692" i="3"/>
  <c r="I689" i="3"/>
  <c r="I686" i="3"/>
  <c r="I680" i="3"/>
  <c r="L670" i="3"/>
  <c r="I661" i="3"/>
  <c r="I655" i="3"/>
  <c r="L646" i="3"/>
  <c r="I643" i="3"/>
  <c r="M643" i="3" s="1"/>
  <c r="I627" i="3"/>
  <c r="M627" i="3" s="1"/>
  <c r="L621" i="3"/>
  <c r="L600" i="3"/>
  <c r="L599" i="3"/>
  <c r="I577" i="3"/>
  <c r="L574" i="3"/>
  <c r="I568" i="3"/>
  <c r="I555" i="3"/>
  <c r="L543" i="3"/>
  <c r="L526" i="3"/>
  <c r="I523" i="3"/>
  <c r="M523" i="3" s="1"/>
  <c r="I516" i="3"/>
  <c r="I504" i="3"/>
  <c r="I485" i="3"/>
  <c r="I469" i="3"/>
  <c r="I463" i="3"/>
  <c r="M463" i="3" s="1"/>
  <c r="L444" i="3"/>
  <c r="I422" i="3"/>
  <c r="L695" i="3"/>
  <c r="L664" i="3"/>
  <c r="I652" i="3"/>
  <c r="I649" i="3"/>
  <c r="I640" i="3"/>
  <c r="I637" i="3"/>
  <c r="I618" i="3"/>
  <c r="L609" i="3"/>
  <c r="I565" i="3"/>
  <c r="I542" i="3"/>
  <c r="I520" i="3"/>
  <c r="I498" i="3"/>
  <c r="L479" i="3"/>
  <c r="I460" i="3"/>
  <c r="L454" i="3"/>
  <c r="I438" i="3"/>
  <c r="L741" i="3"/>
  <c r="I738" i="3"/>
  <c r="M738" i="3" s="1"/>
  <c r="L705" i="3"/>
  <c r="L703" i="3"/>
  <c r="I702" i="3"/>
  <c r="M702" i="3" s="1"/>
  <c r="L684" i="3"/>
  <c r="L683" i="3"/>
  <c r="L665" i="3"/>
  <c r="I658" i="3"/>
  <c r="L653" i="3"/>
  <c r="L641" i="3"/>
  <c r="L634" i="3"/>
  <c r="L607" i="3"/>
  <c r="I606" i="3"/>
  <c r="L562" i="3"/>
  <c r="L547" i="3"/>
  <c r="I546" i="3"/>
  <c r="M546" i="3" s="1"/>
  <c r="L540" i="3"/>
  <c r="L539" i="3"/>
  <c r="L521" i="3"/>
  <c r="I482" i="3"/>
  <c r="M482" i="3" s="1"/>
  <c r="I748" i="3"/>
  <c r="L735" i="3"/>
  <c r="I728" i="3"/>
  <c r="M728" i="3" s="1"/>
  <c r="I699" i="3"/>
  <c r="M699" i="3" s="1"/>
  <c r="L693" i="3"/>
  <c r="I628" i="3"/>
  <c r="I590" i="3"/>
  <c r="L587" i="3"/>
  <c r="I556" i="3"/>
  <c r="I530" i="3"/>
  <c r="M530" i="3" s="1"/>
  <c r="I508" i="3"/>
  <c r="L502" i="3"/>
  <c r="L492" i="3"/>
  <c r="I457" i="3"/>
  <c r="M457" i="3" s="1"/>
  <c r="I448" i="3"/>
  <c r="L442" i="3"/>
  <c r="L432" i="3"/>
  <c r="I426" i="3"/>
  <c r="M426" i="3" s="1"/>
  <c r="I690" i="3"/>
  <c r="L671" i="3"/>
  <c r="L597" i="3"/>
  <c r="I578" i="3"/>
  <c r="M578" i="3" s="1"/>
  <c r="L537" i="3"/>
  <c r="L527" i="3"/>
  <c r="I517" i="3"/>
  <c r="I505" i="3"/>
  <c r="M505" i="3" s="1"/>
  <c r="I486" i="3"/>
  <c r="M486" i="3" s="1"/>
  <c r="I470" i="3"/>
  <c r="M470" i="3" s="1"/>
  <c r="I445" i="3"/>
  <c r="L420" i="3"/>
  <c r="I709" i="3"/>
  <c r="L681" i="3"/>
  <c r="I668" i="3"/>
  <c r="M668" i="3" s="1"/>
  <c r="I650" i="3"/>
  <c r="L647" i="3"/>
  <c r="L622" i="3"/>
  <c r="I616" i="3"/>
  <c r="I594" i="3"/>
  <c r="M594" i="3" s="1"/>
  <c r="L585" i="3"/>
  <c r="I566" i="3"/>
  <c r="M566" i="3" s="1"/>
  <c r="I534" i="3"/>
  <c r="M534" i="3" s="1"/>
  <c r="I496" i="3"/>
  <c r="I436" i="3"/>
  <c r="L430" i="3"/>
  <c r="I414" i="3"/>
  <c r="L700" i="3"/>
  <c r="I678" i="3"/>
  <c r="M678" i="3" s="1"/>
  <c r="L659" i="3"/>
  <c r="L635" i="3"/>
  <c r="I625" i="3"/>
  <c r="M625" i="3" s="1"/>
  <c r="I613" i="3"/>
  <c r="M613" i="3" s="1"/>
  <c r="I604" i="3"/>
  <c r="I582" i="3"/>
  <c r="L563" i="3"/>
  <c r="I553" i="3"/>
  <c r="L550" i="3"/>
  <c r="I544" i="3"/>
  <c r="L490" i="3"/>
  <c r="L480" i="3"/>
  <c r="I474" i="3"/>
  <c r="L455" i="3"/>
  <c r="L437" i="3"/>
  <c r="I411" i="3"/>
  <c r="M411" i="3" s="1"/>
  <c r="I768" i="3"/>
  <c r="M768" i="3" s="1"/>
  <c r="L755" i="3"/>
  <c r="I736" i="3"/>
  <c r="M736" i="3" s="1"/>
  <c r="I706" i="3"/>
  <c r="M706" i="3" s="1"/>
  <c r="I601" i="3"/>
  <c r="M601" i="3" s="1"/>
  <c r="L573" i="3"/>
  <c r="I518" i="3"/>
  <c r="I493" i="3"/>
  <c r="I458" i="3"/>
  <c r="M458" i="3" s="1"/>
  <c r="I433" i="3"/>
  <c r="M433" i="3" s="1"/>
  <c r="I424" i="3"/>
  <c r="L418" i="3"/>
  <c r="I716" i="3"/>
  <c r="M716" i="3" s="1"/>
  <c r="I697" i="3"/>
  <c r="L669" i="3"/>
  <c r="L663" i="3"/>
  <c r="L645" i="3"/>
  <c r="L598" i="3"/>
  <c r="I570" i="3"/>
  <c r="L525" i="3"/>
  <c r="L515" i="3"/>
  <c r="I506" i="3"/>
  <c r="M506" i="3" s="1"/>
  <c r="L503" i="3"/>
  <c r="I484" i="3"/>
  <c r="L478" i="3"/>
  <c r="L468" i="3"/>
  <c r="I446" i="3"/>
  <c r="I421" i="3"/>
  <c r="I759" i="3"/>
  <c r="L747" i="3"/>
  <c r="L723" i="3"/>
  <c r="L721" i="3"/>
  <c r="I704" i="3"/>
  <c r="L692" i="3"/>
  <c r="L688" i="3"/>
  <c r="I685" i="3"/>
  <c r="M685" i="3" s="1"/>
  <c r="I666" i="3"/>
  <c r="L657" i="3"/>
  <c r="I654" i="3"/>
  <c r="M654" i="3" s="1"/>
  <c r="I642" i="3"/>
  <c r="I592" i="3"/>
  <c r="L577" i="3"/>
  <c r="I554" i="3"/>
  <c r="M554" i="3" s="1"/>
  <c r="I541" i="3"/>
  <c r="M541" i="3" s="1"/>
  <c r="L538" i="3"/>
  <c r="I532" i="3"/>
  <c r="I522" i="3"/>
  <c r="L469" i="3"/>
  <c r="I462" i="3"/>
  <c r="L422" i="3"/>
  <c r="L791" i="3"/>
  <c r="L762" i="3"/>
  <c r="L649" i="3"/>
  <c r="L637" i="3"/>
  <c r="L633" i="3"/>
  <c r="I626" i="3"/>
  <c r="L618" i="3"/>
  <c r="I614" i="3"/>
  <c r="L611" i="3"/>
  <c r="L586" i="3"/>
  <c r="I580" i="3"/>
  <c r="L565" i="3"/>
  <c r="L561" i="3"/>
  <c r="L542" i="3"/>
  <c r="L513" i="3"/>
  <c r="L498" i="3"/>
  <c r="I481" i="3"/>
  <c r="M481" i="3" s="1"/>
  <c r="I472" i="3"/>
  <c r="L438" i="3"/>
  <c r="L431" i="3"/>
  <c r="I412" i="3"/>
  <c r="I988" i="3"/>
  <c r="I977" i="3"/>
  <c r="I957" i="3"/>
  <c r="M957" i="3" s="1"/>
  <c r="I850" i="3"/>
  <c r="M850" i="3" s="1"/>
  <c r="I845" i="3"/>
  <c r="L845" i="3"/>
  <c r="L804" i="3"/>
  <c r="I788" i="3"/>
  <c r="M788" i="3" s="1"/>
  <c r="L788" i="3"/>
  <c r="I764" i="3"/>
  <c r="L764" i="3"/>
  <c r="I717" i="3"/>
  <c r="M717" i="3" s="1"/>
  <c r="L491" i="3"/>
  <c r="I491" i="3"/>
  <c r="M491" i="3" s="1"/>
  <c r="I773" i="3"/>
  <c r="L773" i="3"/>
  <c r="I867" i="3"/>
  <c r="L867" i="3"/>
  <c r="I819" i="3"/>
  <c r="L819" i="3"/>
  <c r="I694" i="3"/>
  <c r="L694" i="3"/>
  <c r="I673" i="3"/>
  <c r="L673" i="3"/>
  <c r="I638" i="3"/>
  <c r="L638" i="3"/>
  <c r="I596" i="3"/>
  <c r="L596" i="3"/>
  <c r="L419" i="3"/>
  <c r="I419" i="3"/>
  <c r="I722" i="3"/>
  <c r="L722" i="3"/>
  <c r="I872" i="3"/>
  <c r="L872" i="3"/>
  <c r="I846" i="3"/>
  <c r="M846" i="3" s="1"/>
  <c r="I824" i="3"/>
  <c r="L824" i="3"/>
  <c r="I682" i="3"/>
  <c r="L682" i="3"/>
  <c r="I812" i="3"/>
  <c r="L812" i="3"/>
  <c r="I857" i="3"/>
  <c r="L857" i="3"/>
  <c r="L826" i="3"/>
  <c r="I809" i="3"/>
  <c r="L809" i="3"/>
  <c r="I761" i="3"/>
  <c r="L761" i="3"/>
  <c r="I742" i="3"/>
  <c r="L742" i="3"/>
  <c r="I860" i="3"/>
  <c r="L860" i="3"/>
  <c r="I879" i="3"/>
  <c r="L879" i="3"/>
  <c r="L864" i="3"/>
  <c r="I831" i="3"/>
  <c r="M831" i="3" s="1"/>
  <c r="L831" i="3"/>
  <c r="L816" i="3"/>
  <c r="I785" i="3"/>
  <c r="L785" i="3"/>
  <c r="I687" i="3"/>
  <c r="L687" i="3"/>
  <c r="L661" i="3"/>
  <c r="I644" i="3"/>
  <c r="L644" i="3"/>
  <c r="I797" i="3"/>
  <c r="L797" i="3"/>
  <c r="I927" i="3"/>
  <c r="M927" i="3" s="1"/>
  <c r="L927" i="3"/>
  <c r="I915" i="3"/>
  <c r="L915" i="3"/>
  <c r="I903" i="3"/>
  <c r="L903" i="3"/>
  <c r="I891" i="3"/>
  <c r="L891" i="3"/>
  <c r="I836" i="3"/>
  <c r="L836" i="3"/>
  <c r="I752" i="3"/>
  <c r="L752" i="3"/>
  <c r="I656" i="3"/>
  <c r="M656" i="3" s="1"/>
  <c r="L656" i="3"/>
  <c r="L610" i="3"/>
  <c r="I610" i="3"/>
  <c r="L575" i="3"/>
  <c r="I575" i="3"/>
  <c r="L549" i="3"/>
  <c r="I549" i="3"/>
  <c r="L467" i="3"/>
  <c r="I467" i="3"/>
  <c r="L997" i="3"/>
  <c r="L985" i="3"/>
  <c r="L974" i="3"/>
  <c r="I941" i="3"/>
  <c r="M941" i="3" s="1"/>
  <c r="I869" i="3"/>
  <c r="L869" i="3"/>
  <c r="L838" i="3"/>
  <c r="I821" i="3"/>
  <c r="L821" i="3"/>
  <c r="L801" i="3"/>
  <c r="I800" i="3"/>
  <c r="L800" i="3"/>
  <c r="L777" i="3"/>
  <c r="I776" i="3"/>
  <c r="L776" i="3"/>
  <c r="L514" i="3"/>
  <c r="I514" i="3"/>
  <c r="L876" i="3"/>
  <c r="I843" i="3"/>
  <c r="L843" i="3"/>
  <c r="L828" i="3"/>
  <c r="L792" i="3"/>
  <c r="I675" i="3"/>
  <c r="L675" i="3"/>
  <c r="I855" i="3"/>
  <c r="L855" i="3"/>
  <c r="I750" i="3"/>
  <c r="M750" i="3" s="1"/>
  <c r="L750" i="3"/>
  <c r="L956" i="3"/>
  <c r="L924" i="3"/>
  <c r="L912" i="3"/>
  <c r="L900" i="3"/>
  <c r="L888" i="3"/>
  <c r="I848" i="3"/>
  <c r="L848" i="3"/>
  <c r="I740" i="3"/>
  <c r="L740" i="3"/>
  <c r="I965" i="3"/>
  <c r="M965" i="3" s="1"/>
  <c r="I929" i="3"/>
  <c r="M929" i="3" s="1"/>
  <c r="I917" i="3"/>
  <c r="I905" i="3"/>
  <c r="M905" i="3" s="1"/>
  <c r="I893" i="3"/>
  <c r="M893" i="3" s="1"/>
  <c r="I881" i="3"/>
  <c r="L881" i="3"/>
  <c r="I833" i="3"/>
  <c r="L833" i="3"/>
  <c r="I807" i="3"/>
  <c r="L807" i="3"/>
  <c r="I730" i="3"/>
  <c r="L730" i="3"/>
  <c r="L623" i="3"/>
  <c r="I623" i="3"/>
  <c r="L443" i="3"/>
  <c r="I443" i="3"/>
  <c r="I536" i="3"/>
  <c r="L536" i="3"/>
  <c r="I501" i="3"/>
  <c r="L501" i="3"/>
  <c r="I477" i="3"/>
  <c r="L477" i="3"/>
  <c r="I453" i="3"/>
  <c r="L453" i="3"/>
  <c r="I429" i="3"/>
  <c r="M429" i="3" s="1"/>
  <c r="L429" i="3"/>
  <c r="I663" i="3"/>
  <c r="M663" i="3" s="1"/>
  <c r="I621" i="3"/>
  <c r="M621" i="3" s="1"/>
  <c r="I586" i="3"/>
  <c r="I512" i="3"/>
  <c r="L512" i="3"/>
  <c r="L795" i="3"/>
  <c r="L783" i="3"/>
  <c r="L771" i="3"/>
  <c r="L759" i="3"/>
  <c r="L748" i="3"/>
  <c r="I712" i="3"/>
  <c r="I705" i="3"/>
  <c r="I664" i="3"/>
  <c r="M664" i="3" s="1"/>
  <c r="I657" i="3"/>
  <c r="I646" i="3"/>
  <c r="I611" i="3"/>
  <c r="M611" i="3" s="1"/>
  <c r="I572" i="3"/>
  <c r="L572" i="3"/>
  <c r="I537" i="3"/>
  <c r="I502" i="3"/>
  <c r="M502" i="3" s="1"/>
  <c r="I478" i="3"/>
  <c r="I454" i="3"/>
  <c r="M454" i="3" s="1"/>
  <c r="I430" i="3"/>
  <c r="I632" i="3"/>
  <c r="L632" i="3"/>
  <c r="L714" i="3"/>
  <c r="L680" i="3"/>
  <c r="L666" i="3"/>
  <c r="I622" i="3"/>
  <c r="M622" i="3" s="1"/>
  <c r="I587" i="3"/>
  <c r="M587" i="3" s="1"/>
  <c r="I548" i="3"/>
  <c r="L548" i="3"/>
  <c r="I513" i="3"/>
  <c r="I729" i="3"/>
  <c r="M729" i="3" s="1"/>
  <c r="I700" i="3"/>
  <c r="M700" i="3" s="1"/>
  <c r="I693" i="3"/>
  <c r="I647" i="3"/>
  <c r="M647" i="3" s="1"/>
  <c r="I608" i="3"/>
  <c r="L608" i="3"/>
  <c r="I573" i="3"/>
  <c r="M573" i="3" s="1"/>
  <c r="I538" i="3"/>
  <c r="M538" i="3" s="1"/>
  <c r="I503" i="3"/>
  <c r="M503" i="3" s="1"/>
  <c r="I489" i="3"/>
  <c r="L489" i="3"/>
  <c r="I479" i="3"/>
  <c r="M479" i="3" s="1"/>
  <c r="I465" i="3"/>
  <c r="L465" i="3"/>
  <c r="I455" i="3"/>
  <c r="M455" i="3" s="1"/>
  <c r="I441" i="3"/>
  <c r="L441" i="3"/>
  <c r="I431" i="3"/>
  <c r="I417" i="3"/>
  <c r="L417" i="3"/>
  <c r="I524" i="3"/>
  <c r="L524" i="3"/>
  <c r="I584" i="3"/>
  <c r="L584" i="3"/>
  <c r="I560" i="3"/>
  <c r="L560" i="3"/>
  <c r="L704" i="3"/>
  <c r="L690" i="3"/>
  <c r="L650" i="3"/>
  <c r="I620" i="3"/>
  <c r="L620" i="3"/>
  <c r="I585" i="3"/>
  <c r="M585" i="3" s="1"/>
  <c r="I550" i="3"/>
  <c r="M550" i="3" s="1"/>
  <c r="I515" i="3"/>
  <c r="M515" i="3" s="1"/>
  <c r="L652" i="3"/>
  <c r="L640" i="3"/>
  <c r="L628" i="3"/>
  <c r="L616" i="3"/>
  <c r="L604" i="3"/>
  <c r="L592" i="3"/>
  <c r="L580" i="3"/>
  <c r="L568" i="3"/>
  <c r="L556" i="3"/>
  <c r="L544" i="3"/>
  <c r="L532" i="3"/>
  <c r="L520" i="3"/>
  <c r="L508" i="3"/>
  <c r="L496" i="3"/>
  <c r="L484" i="3"/>
  <c r="L472" i="3"/>
  <c r="L460" i="3"/>
  <c r="L448" i="3"/>
  <c r="L436" i="3"/>
  <c r="L424" i="3"/>
  <c r="L342" i="3"/>
  <c r="I114" i="3"/>
  <c r="L330" i="3"/>
  <c r="L318" i="3"/>
  <c r="I378" i="3"/>
  <c r="M378" i="3" s="1"/>
  <c r="I366" i="3"/>
  <c r="L174" i="3"/>
  <c r="I390" i="3"/>
  <c r="M390" i="3" s="1"/>
  <c r="L306" i="3"/>
  <c r="I402" i="3"/>
  <c r="M402" i="3" s="1"/>
  <c r="I246" i="3"/>
  <c r="L8" i="3"/>
  <c r="L403" i="3"/>
  <c r="L391" i="3"/>
  <c r="L379" i="3"/>
  <c r="L367" i="3"/>
  <c r="L355" i="3"/>
  <c r="L343" i="3"/>
  <c r="L331" i="3"/>
  <c r="L319" i="3"/>
  <c r="L307" i="3"/>
  <c r="L295" i="3"/>
  <c r="L283" i="3"/>
  <c r="L271" i="3"/>
  <c r="L259" i="3"/>
  <c r="L247" i="3"/>
  <c r="L235" i="3"/>
  <c r="L223" i="3"/>
  <c r="L211" i="3"/>
  <c r="L199" i="3"/>
  <c r="L187" i="3"/>
  <c r="L175" i="3"/>
  <c r="L163" i="3"/>
  <c r="L151" i="3"/>
  <c r="L139" i="3"/>
  <c r="L127" i="3"/>
  <c r="L115" i="3"/>
  <c r="L103" i="3"/>
  <c r="L91" i="3"/>
  <c r="L79" i="3"/>
  <c r="L67" i="3"/>
  <c r="L55" i="3"/>
  <c r="L43" i="3"/>
  <c r="L31" i="3"/>
  <c r="L19" i="3"/>
  <c r="L7" i="3"/>
  <c r="L401" i="3"/>
  <c r="L389" i="3"/>
  <c r="L377" i="3"/>
  <c r="L365" i="3"/>
  <c r="L353" i="3"/>
  <c r="L341" i="3"/>
  <c r="L329" i="3"/>
  <c r="L317" i="3"/>
  <c r="L305" i="3"/>
  <c r="L293" i="3"/>
  <c r="L281" i="3"/>
  <c r="L269" i="3"/>
  <c r="L257" i="3"/>
  <c r="L245" i="3"/>
  <c r="L233" i="3"/>
  <c r="L221" i="3"/>
  <c r="L209" i="3"/>
  <c r="L197" i="3"/>
  <c r="L185" i="3"/>
  <c r="L173" i="3"/>
  <c r="L161" i="3"/>
  <c r="L149" i="3"/>
  <c r="L137" i="3"/>
  <c r="L125" i="3"/>
  <c r="L113" i="3"/>
  <c r="L101" i="3"/>
  <c r="L89" i="3"/>
  <c r="L77" i="3"/>
  <c r="L65" i="3"/>
  <c r="L53" i="3"/>
  <c r="L41" i="3"/>
  <c r="L29" i="3"/>
  <c r="L17" i="3"/>
  <c r="L376" i="3"/>
  <c r="L328" i="3"/>
  <c r="L304" i="3"/>
  <c r="L268" i="3"/>
  <c r="L232" i="3"/>
  <c r="L208" i="3"/>
  <c r="L196" i="3"/>
  <c r="L184" i="3"/>
  <c r="L172" i="3"/>
  <c r="L136" i="3"/>
  <c r="L124" i="3"/>
  <c r="L100" i="3"/>
  <c r="L88" i="3"/>
  <c r="L76" i="3"/>
  <c r="L64" i="3"/>
  <c r="L52" i="3"/>
  <c r="L40" i="3"/>
  <c r="L28" i="3"/>
  <c r="L16" i="3"/>
  <c r="L5" i="3"/>
  <c r="L399" i="3"/>
  <c r="L387" i="3"/>
  <c r="L375" i="3"/>
  <c r="L363" i="3"/>
  <c r="L351" i="3"/>
  <c r="L339" i="3"/>
  <c r="L327" i="3"/>
  <c r="L315" i="3"/>
  <c r="L303" i="3"/>
  <c r="L291" i="3"/>
  <c r="L279" i="3"/>
  <c r="L267" i="3"/>
  <c r="L255" i="3"/>
  <c r="L243" i="3"/>
  <c r="L231" i="3"/>
  <c r="L219" i="3"/>
  <c r="L207" i="3"/>
  <c r="L195" i="3"/>
  <c r="L183" i="3"/>
  <c r="L171" i="3"/>
  <c r="L159" i="3"/>
  <c r="L147" i="3"/>
  <c r="L135" i="3"/>
  <c r="L123" i="3"/>
  <c r="L111" i="3"/>
  <c r="L99" i="3"/>
  <c r="L87" i="3"/>
  <c r="L75" i="3"/>
  <c r="L63" i="3"/>
  <c r="L51" i="3"/>
  <c r="L39" i="3"/>
  <c r="L27" i="3"/>
  <c r="L15" i="3"/>
  <c r="L400" i="3"/>
  <c r="L352" i="3"/>
  <c r="L292" i="3"/>
  <c r="L244" i="3"/>
  <c r="L148" i="3"/>
  <c r="J12" i="3"/>
  <c r="L410" i="3"/>
  <c r="L398" i="3"/>
  <c r="L386" i="3"/>
  <c r="L374" i="3"/>
  <c r="L362" i="3"/>
  <c r="L350" i="3"/>
  <c r="L338" i="3"/>
  <c r="L326" i="3"/>
  <c r="L314" i="3"/>
  <c r="L302" i="3"/>
  <c r="L290" i="3"/>
  <c r="L278" i="3"/>
  <c r="L266" i="3"/>
  <c r="L254" i="3"/>
  <c r="L242" i="3"/>
  <c r="L230" i="3"/>
  <c r="L218" i="3"/>
  <c r="L206" i="3"/>
  <c r="L194" i="3"/>
  <c r="L182" i="3"/>
  <c r="L170" i="3"/>
  <c r="L158" i="3"/>
  <c r="L146" i="3"/>
  <c r="L134" i="3"/>
  <c r="L122" i="3"/>
  <c r="L110" i="3"/>
  <c r="L98" i="3"/>
  <c r="L86" i="3"/>
  <c r="L74" i="3"/>
  <c r="L62" i="3"/>
  <c r="L50" i="3"/>
  <c r="L38" i="3"/>
  <c r="L26" i="3"/>
  <c r="L14" i="3"/>
  <c r="L364" i="3"/>
  <c r="L316" i="3"/>
  <c r="L160" i="3"/>
  <c r="L409" i="3"/>
  <c r="L397" i="3"/>
  <c r="L385" i="3"/>
  <c r="L373" i="3"/>
  <c r="L361" i="3"/>
  <c r="L349" i="3"/>
  <c r="L337" i="3"/>
  <c r="L325" i="3"/>
  <c r="L313" i="3"/>
  <c r="L301" i="3"/>
  <c r="L289" i="3"/>
  <c r="L277" i="3"/>
  <c r="L265" i="3"/>
  <c r="L253" i="3"/>
  <c r="L241" i="3"/>
  <c r="L229" i="3"/>
  <c r="L217" i="3"/>
  <c r="L205" i="3"/>
  <c r="L193" i="3"/>
  <c r="L181" i="3"/>
  <c r="L169" i="3"/>
  <c r="L157" i="3"/>
  <c r="L145" i="3"/>
  <c r="L133" i="3"/>
  <c r="L121" i="3"/>
  <c r="L109" i="3"/>
  <c r="L97" i="3"/>
  <c r="L85" i="3"/>
  <c r="L73" i="3"/>
  <c r="L61" i="3"/>
  <c r="L49" i="3"/>
  <c r="L37" i="3"/>
  <c r="L25" i="3"/>
  <c r="L13" i="3"/>
  <c r="L388" i="3"/>
  <c r="L340" i="3"/>
  <c r="L280" i="3"/>
  <c r="L256" i="3"/>
  <c r="L220" i="3"/>
  <c r="L112" i="3"/>
  <c r="L408" i="3"/>
  <c r="L396" i="3"/>
  <c r="L384" i="3"/>
  <c r="L372" i="3"/>
  <c r="L360" i="3"/>
  <c r="L348" i="3"/>
  <c r="L336" i="3"/>
  <c r="L324" i="3"/>
  <c r="L312" i="3"/>
  <c r="L300" i="3"/>
  <c r="L288" i="3"/>
  <c r="L276" i="3"/>
  <c r="L264" i="3"/>
  <c r="L252" i="3"/>
  <c r="L240" i="3"/>
  <c r="L228" i="3"/>
  <c r="L216" i="3"/>
  <c r="L204" i="3"/>
  <c r="L192" i="3"/>
  <c r="L180" i="3"/>
  <c r="L168" i="3"/>
  <c r="L156" i="3"/>
  <c r="L144" i="3"/>
  <c r="L132" i="3"/>
  <c r="L120" i="3"/>
  <c r="L108" i="3"/>
  <c r="L96" i="3"/>
  <c r="L84" i="3"/>
  <c r="L72" i="3"/>
  <c r="L60" i="3"/>
  <c r="L48" i="3"/>
  <c r="L36" i="3"/>
  <c r="L24" i="3"/>
  <c r="L12" i="3"/>
  <c r="L407" i="3"/>
  <c r="L323" i="3"/>
  <c r="L47" i="3"/>
  <c r="L35" i="3"/>
  <c r="L23" i="3"/>
  <c r="L11" i="3"/>
  <c r="L395" i="3"/>
  <c r="L359" i="3"/>
  <c r="L275" i="3"/>
  <c r="L239" i="3"/>
  <c r="L215" i="3"/>
  <c r="L191" i="3"/>
  <c r="L167" i="3"/>
  <c r="L143" i="3"/>
  <c r="L107" i="3"/>
  <c r="L95" i="3"/>
  <c r="L59" i="3"/>
  <c r="L406" i="3"/>
  <c r="L394" i="3"/>
  <c r="L382" i="3"/>
  <c r="L370" i="3"/>
  <c r="L358" i="3"/>
  <c r="L346" i="3"/>
  <c r="L334" i="3"/>
  <c r="L322" i="3"/>
  <c r="L310" i="3"/>
  <c r="L298" i="3"/>
  <c r="L286" i="3"/>
  <c r="L274" i="3"/>
  <c r="L262" i="3"/>
  <c r="L250" i="3"/>
  <c r="L238" i="3"/>
  <c r="L226" i="3"/>
  <c r="L214" i="3"/>
  <c r="L202" i="3"/>
  <c r="L190" i="3"/>
  <c r="L178" i="3"/>
  <c r="L166" i="3"/>
  <c r="L154" i="3"/>
  <c r="L142" i="3"/>
  <c r="L130" i="3"/>
  <c r="L118" i="3"/>
  <c r="L106" i="3"/>
  <c r="L94" i="3"/>
  <c r="L82" i="3"/>
  <c r="L70" i="3"/>
  <c r="L58" i="3"/>
  <c r="L46" i="3"/>
  <c r="L34" i="3"/>
  <c r="L22" i="3"/>
  <c r="L10" i="3"/>
  <c r="L371" i="3"/>
  <c r="L335" i="3"/>
  <c r="L287" i="3"/>
  <c r="L263" i="3"/>
  <c r="L227" i="3"/>
  <c r="L203" i="3"/>
  <c r="L179" i="3"/>
  <c r="L155" i="3"/>
  <c r="L119" i="3"/>
  <c r="L83" i="3"/>
  <c r="L71" i="3"/>
  <c r="L405" i="3"/>
  <c r="L393" i="3"/>
  <c r="L381" i="3"/>
  <c r="L369" i="3"/>
  <c r="L357" i="3"/>
  <c r="L345" i="3"/>
  <c r="L333" i="3"/>
  <c r="L321" i="3"/>
  <c r="L309" i="3"/>
  <c r="L297" i="3"/>
  <c r="L285" i="3"/>
  <c r="L273" i="3"/>
  <c r="L261" i="3"/>
  <c r="L249" i="3"/>
  <c r="L237" i="3"/>
  <c r="L225" i="3"/>
  <c r="L213" i="3"/>
  <c r="L201" i="3"/>
  <c r="L189" i="3"/>
  <c r="L177" i="3"/>
  <c r="L165" i="3"/>
  <c r="L153" i="3"/>
  <c r="L141" i="3"/>
  <c r="L129" i="3"/>
  <c r="L117" i="3"/>
  <c r="L105" i="3"/>
  <c r="L93" i="3"/>
  <c r="L81" i="3"/>
  <c r="L69" i="3"/>
  <c r="L57" i="3"/>
  <c r="L45" i="3"/>
  <c r="L33" i="3"/>
  <c r="L21" i="3"/>
  <c r="L9" i="3"/>
  <c r="L383" i="3"/>
  <c r="L347" i="3"/>
  <c r="L299" i="3"/>
  <c r="L251" i="3"/>
  <c r="L131" i="3"/>
  <c r="L404" i="3"/>
  <c r="L392" i="3"/>
  <c r="L380" i="3"/>
  <c r="L368" i="3"/>
  <c r="L356" i="3"/>
  <c r="L344" i="3"/>
  <c r="L332" i="3"/>
  <c r="L320" i="3"/>
  <c r="L308" i="3"/>
  <c r="L296" i="3"/>
  <c r="L284" i="3"/>
  <c r="L272" i="3"/>
  <c r="L260" i="3"/>
  <c r="L248" i="3"/>
  <c r="L236" i="3"/>
  <c r="L224" i="3"/>
  <c r="L212" i="3"/>
  <c r="L200" i="3"/>
  <c r="L188" i="3"/>
  <c r="L176" i="3"/>
  <c r="L164" i="3"/>
  <c r="L152" i="3"/>
  <c r="L140" i="3"/>
  <c r="L128" i="3"/>
  <c r="L116" i="3"/>
  <c r="L104" i="3"/>
  <c r="L92" i="3"/>
  <c r="L80" i="3"/>
  <c r="L68" i="3"/>
  <c r="L56" i="3"/>
  <c r="L44" i="3"/>
  <c r="L32" i="3"/>
  <c r="L20" i="3"/>
  <c r="I12" i="3"/>
  <c r="I27" i="3"/>
  <c r="J71" i="3"/>
  <c r="I41" i="3"/>
  <c r="I10" i="3"/>
  <c r="I5" i="3"/>
  <c r="I9" i="3"/>
  <c r="I16" i="3"/>
  <c r="J19" i="3"/>
  <c r="I22" i="3"/>
  <c r="J36" i="3"/>
  <c r="I39" i="3"/>
  <c r="J50" i="3"/>
  <c r="I53" i="3"/>
  <c r="I56" i="3"/>
  <c r="M56" i="3" s="1"/>
  <c r="I63" i="3"/>
  <c r="J65" i="3"/>
  <c r="J74" i="3"/>
  <c r="J77" i="3"/>
  <c r="I80" i="3"/>
  <c r="M80" i="3" s="1"/>
  <c r="I83" i="3"/>
  <c r="J97" i="3"/>
  <c r="J100" i="3"/>
  <c r="I103" i="3"/>
  <c r="J105" i="3"/>
  <c r="J123" i="3"/>
  <c r="I126" i="3"/>
  <c r="M126" i="3" s="1"/>
  <c r="I129" i="3"/>
  <c r="J137" i="3"/>
  <c r="J140" i="3"/>
  <c r="I143" i="3"/>
  <c r="I146" i="3"/>
  <c r="J160" i="3"/>
  <c r="J163" i="3"/>
  <c r="J166" i="3"/>
  <c r="I169" i="3"/>
  <c r="J186" i="3"/>
  <c r="J189" i="3"/>
  <c r="I192" i="3"/>
  <c r="M192" i="3" s="1"/>
  <c r="I195" i="3"/>
  <c r="J209" i="3"/>
  <c r="J212" i="3"/>
  <c r="I215" i="3"/>
  <c r="I218" i="3"/>
  <c r="M218" i="3" s="1"/>
  <c r="J232" i="3"/>
  <c r="J235" i="3"/>
  <c r="J238" i="3"/>
  <c r="I241" i="3"/>
  <c r="J258" i="3"/>
  <c r="J261" i="3"/>
  <c r="I264" i="3"/>
  <c r="M264" i="3" s="1"/>
  <c r="I267" i="3"/>
  <c r="J281" i="3"/>
  <c r="J284" i="3"/>
  <c r="I287" i="3"/>
  <c r="I290" i="3"/>
  <c r="J304" i="3"/>
  <c r="J5" i="3"/>
  <c r="J9" i="3"/>
  <c r="J16" i="3"/>
  <c r="J22" i="3"/>
  <c r="I25" i="3"/>
  <c r="J39" i="3"/>
  <c r="I42" i="3"/>
  <c r="I45" i="3"/>
  <c r="J53" i="3"/>
  <c r="J56" i="3"/>
  <c r="I61" i="3"/>
  <c r="J63" i="3"/>
  <c r="I72" i="3"/>
  <c r="J80" i="3"/>
  <c r="J83" i="3"/>
  <c r="I86" i="3"/>
  <c r="I89" i="3"/>
  <c r="J103" i="3"/>
  <c r="I112" i="3"/>
  <c r="I115" i="3"/>
  <c r="I118" i="3"/>
  <c r="J126" i="3"/>
  <c r="J129" i="3"/>
  <c r="I132" i="3"/>
  <c r="J143" i="3"/>
  <c r="J146" i="3"/>
  <c r="I149" i="3"/>
  <c r="I152" i="3"/>
  <c r="J169" i="3"/>
  <c r="I172" i="3"/>
  <c r="I175" i="3"/>
  <c r="I178" i="3"/>
  <c r="J192" i="3"/>
  <c r="J195" i="3"/>
  <c r="I198" i="3"/>
  <c r="I201" i="3"/>
  <c r="J215" i="3"/>
  <c r="J218" i="3"/>
  <c r="I221" i="3"/>
  <c r="I224" i="3"/>
  <c r="J241" i="3"/>
  <c r="I244" i="3"/>
  <c r="I247" i="3"/>
  <c r="I250" i="3"/>
  <c r="J264" i="3"/>
  <c r="J267" i="3"/>
  <c r="I270" i="3"/>
  <c r="I273" i="3"/>
  <c r="J287" i="3"/>
  <c r="J290" i="3"/>
  <c r="I293" i="3"/>
  <c r="I296" i="3"/>
  <c r="J313" i="3"/>
  <c r="I13" i="3"/>
  <c r="M13" i="3" s="1"/>
  <c r="J25" i="3"/>
  <c r="I28" i="3"/>
  <c r="I31" i="3"/>
  <c r="I34" i="3"/>
  <c r="J42" i="3"/>
  <c r="J45" i="3"/>
  <c r="I48" i="3"/>
  <c r="I59" i="3"/>
  <c r="J61" i="3"/>
  <c r="I70" i="3"/>
  <c r="J72" i="3"/>
  <c r="J86" i="3"/>
  <c r="J89" i="3"/>
  <c r="I92" i="3"/>
  <c r="I95" i="3"/>
  <c r="J112" i="3"/>
  <c r="J115" i="3"/>
  <c r="J118" i="3"/>
  <c r="J132" i="3"/>
  <c r="I135" i="3"/>
  <c r="J149" i="3"/>
  <c r="J152" i="3"/>
  <c r="I155" i="3"/>
  <c r="I158" i="3"/>
  <c r="J172" i="3"/>
  <c r="J175" i="3"/>
  <c r="J178" i="3"/>
  <c r="I181" i="3"/>
  <c r="J198" i="3"/>
  <c r="J201" i="3"/>
  <c r="I204" i="3"/>
  <c r="I207" i="3"/>
  <c r="J221" i="3"/>
  <c r="J224" i="3"/>
  <c r="I227" i="3"/>
  <c r="I230" i="3"/>
  <c r="J244" i="3"/>
  <c r="J247" i="3"/>
  <c r="J250" i="3"/>
  <c r="I253" i="3"/>
  <c r="J270" i="3"/>
  <c r="J273" i="3"/>
  <c r="I276" i="3"/>
  <c r="I279" i="3"/>
  <c r="J293" i="3"/>
  <c r="J296" i="3"/>
  <c r="I299" i="3"/>
  <c r="I302" i="3"/>
  <c r="J6" i="3"/>
  <c r="J13" i="3"/>
  <c r="I20" i="3"/>
  <c r="J28" i="3"/>
  <c r="J31" i="3"/>
  <c r="J34" i="3"/>
  <c r="J48" i="3"/>
  <c r="I51" i="3"/>
  <c r="J59" i="3"/>
  <c r="I68" i="3"/>
  <c r="J70" i="3"/>
  <c r="I75" i="3"/>
  <c r="I78" i="3"/>
  <c r="J92" i="3"/>
  <c r="J95" i="3"/>
  <c r="I98" i="3"/>
  <c r="I101" i="3"/>
  <c r="I110" i="3"/>
  <c r="I121" i="3"/>
  <c r="J135" i="3"/>
  <c r="I138" i="3"/>
  <c r="I141" i="3"/>
  <c r="J155" i="3"/>
  <c r="J158" i="3"/>
  <c r="I161" i="3"/>
  <c r="I164" i="3"/>
  <c r="J181" i="3"/>
  <c r="I184" i="3"/>
  <c r="I187" i="3"/>
  <c r="I190" i="3"/>
  <c r="J204" i="3"/>
  <c r="J207" i="3"/>
  <c r="I210" i="3"/>
  <c r="I213" i="3"/>
  <c r="J227" i="3"/>
  <c r="J230" i="3"/>
  <c r="I233" i="3"/>
  <c r="I236" i="3"/>
  <c r="J253" i="3"/>
  <c r="I256" i="3"/>
  <c r="I259" i="3"/>
  <c r="I262" i="3"/>
  <c r="J276" i="3"/>
  <c r="J279" i="3"/>
  <c r="I282" i="3"/>
  <c r="I285" i="3"/>
  <c r="J299" i="3"/>
  <c r="J302" i="3"/>
  <c r="I305" i="3"/>
  <c r="I308" i="3"/>
  <c r="J10" i="3"/>
  <c r="I17" i="3"/>
  <c r="J20" i="3"/>
  <c r="I37" i="3"/>
  <c r="J51" i="3"/>
  <c r="I54" i="3"/>
  <c r="I57" i="3"/>
  <c r="I66" i="3"/>
  <c r="J68" i="3"/>
  <c r="J75" i="3"/>
  <c r="J78" i="3"/>
  <c r="I81" i="3"/>
  <c r="I84" i="3"/>
  <c r="J98" i="3"/>
  <c r="J101" i="3"/>
  <c r="I108" i="3"/>
  <c r="J110" i="3"/>
  <c r="J121" i="3"/>
  <c r="I124" i="3"/>
  <c r="I127" i="3"/>
  <c r="I130" i="3"/>
  <c r="J138" i="3"/>
  <c r="J141" i="3"/>
  <c r="I144" i="3"/>
  <c r="I147" i="3"/>
  <c r="J161" i="3"/>
  <c r="J164" i="3"/>
  <c r="I167" i="3"/>
  <c r="I170" i="3"/>
  <c r="J184" i="3"/>
  <c r="J187" i="3"/>
  <c r="J190" i="3"/>
  <c r="I193" i="3"/>
  <c r="J210" i="3"/>
  <c r="J213" i="3"/>
  <c r="I216" i="3"/>
  <c r="I219" i="3"/>
  <c r="J233" i="3"/>
  <c r="J236" i="3"/>
  <c r="I239" i="3"/>
  <c r="I242" i="3"/>
  <c r="J256" i="3"/>
  <c r="J259" i="3"/>
  <c r="J262" i="3"/>
  <c r="I265" i="3"/>
  <c r="J282" i="3"/>
  <c r="J285" i="3"/>
  <c r="I288" i="3"/>
  <c r="I291" i="3"/>
  <c r="J305" i="3"/>
  <c r="J308" i="3"/>
  <c r="I311" i="3"/>
  <c r="I314" i="3"/>
  <c r="I7" i="3"/>
  <c r="J17" i="3"/>
  <c r="I23" i="3"/>
  <c r="J37" i="3"/>
  <c r="I40" i="3"/>
  <c r="M40" i="3" s="1"/>
  <c r="I43" i="3"/>
  <c r="I46" i="3"/>
  <c r="J54" i="3"/>
  <c r="J57" i="3"/>
  <c r="I64" i="3"/>
  <c r="J66" i="3"/>
  <c r="J81" i="3"/>
  <c r="J84" i="3"/>
  <c r="I87" i="3"/>
  <c r="I90" i="3"/>
  <c r="I106" i="3"/>
  <c r="J108" i="3"/>
  <c r="I113" i="3"/>
  <c r="I116" i="3"/>
  <c r="J124" i="3"/>
  <c r="J127" i="3"/>
  <c r="J130" i="3"/>
  <c r="J144" i="3"/>
  <c r="J147" i="3"/>
  <c r="I150" i="3"/>
  <c r="I153" i="3"/>
  <c r="J167" i="3"/>
  <c r="J170" i="3"/>
  <c r="I173" i="3"/>
  <c r="I176" i="3"/>
  <c r="J193" i="3"/>
  <c r="I196" i="3"/>
  <c r="I199" i="3"/>
  <c r="I202" i="3"/>
  <c r="M202" i="3" s="1"/>
  <c r="J216" i="3"/>
  <c r="J219" i="3"/>
  <c r="I222" i="3"/>
  <c r="I225" i="3"/>
  <c r="J239" i="3"/>
  <c r="J242" i="3"/>
  <c r="I245" i="3"/>
  <c r="I248" i="3"/>
  <c r="J265" i="3"/>
  <c r="I268" i="3"/>
  <c r="I271" i="3"/>
  <c r="I274" i="3"/>
  <c r="J288" i="3"/>
  <c r="J291" i="3"/>
  <c r="I294" i="3"/>
  <c r="I297" i="3"/>
  <c r="J311" i="3"/>
  <c r="J314" i="3"/>
  <c r="J7" i="3"/>
  <c r="I11" i="3"/>
  <c r="J23" i="3"/>
  <c r="I26" i="3"/>
  <c r="I29" i="3"/>
  <c r="I32" i="3"/>
  <c r="M32" i="3" s="1"/>
  <c r="J40" i="3"/>
  <c r="J43" i="3"/>
  <c r="J46" i="3"/>
  <c r="I62" i="3"/>
  <c r="J64" i="3"/>
  <c r="J87" i="3"/>
  <c r="J90" i="3"/>
  <c r="I93" i="3"/>
  <c r="I96" i="3"/>
  <c r="I104" i="3"/>
  <c r="J106" i="3"/>
  <c r="J113" i="3"/>
  <c r="J116" i="3"/>
  <c r="I119" i="3"/>
  <c r="I133" i="3"/>
  <c r="J150" i="3"/>
  <c r="J153" i="3"/>
  <c r="I156" i="3"/>
  <c r="I159" i="3"/>
  <c r="J173" i="3"/>
  <c r="J176" i="3"/>
  <c r="I179" i="3"/>
  <c r="I182" i="3"/>
  <c r="J196" i="3"/>
  <c r="J199" i="3"/>
  <c r="J202" i="3"/>
  <c r="I205" i="3"/>
  <c r="J222" i="3"/>
  <c r="J225" i="3"/>
  <c r="I228" i="3"/>
  <c r="I231" i="3"/>
  <c r="J245" i="3"/>
  <c r="J248" i="3"/>
  <c r="I251" i="3"/>
  <c r="I254" i="3"/>
  <c r="J268" i="3"/>
  <c r="J271" i="3"/>
  <c r="J274" i="3"/>
  <c r="I277" i="3"/>
  <c r="J294" i="3"/>
  <c r="J297" i="3"/>
  <c r="I300" i="3"/>
  <c r="I303" i="3"/>
  <c r="M303" i="3" s="1"/>
  <c r="I14" i="3"/>
  <c r="J26" i="3"/>
  <c r="J29" i="3"/>
  <c r="J32" i="3"/>
  <c r="I35" i="3"/>
  <c r="I49" i="3"/>
  <c r="I60" i="3"/>
  <c r="J62" i="3"/>
  <c r="I73" i="3"/>
  <c r="I76" i="3"/>
  <c r="I79" i="3"/>
  <c r="J93" i="3"/>
  <c r="J96" i="3"/>
  <c r="I99" i="3"/>
  <c r="I102" i="3"/>
  <c r="J104" i="3"/>
  <c r="J119" i="3"/>
  <c r="I122" i="3"/>
  <c r="J133" i="3"/>
  <c r="I136" i="3"/>
  <c r="I139" i="3"/>
  <c r="I142" i="3"/>
  <c r="J156" i="3"/>
  <c r="J159" i="3"/>
  <c r="I162" i="3"/>
  <c r="I165" i="3"/>
  <c r="J179" i="3"/>
  <c r="J182" i="3"/>
  <c r="I185" i="3"/>
  <c r="I188" i="3"/>
  <c r="J205" i="3"/>
  <c r="I208" i="3"/>
  <c r="I211" i="3"/>
  <c r="I214" i="3"/>
  <c r="J228" i="3"/>
  <c r="J231" i="3"/>
  <c r="I234" i="3"/>
  <c r="I237" i="3"/>
  <c r="J251" i="3"/>
  <c r="J254" i="3"/>
  <c r="I257" i="3"/>
  <c r="I260" i="3"/>
  <c r="J277" i="3"/>
  <c r="I280" i="3"/>
  <c r="I283" i="3"/>
  <c r="I286" i="3"/>
  <c r="J300" i="3"/>
  <c r="J14" i="3"/>
  <c r="I18" i="3"/>
  <c r="I21" i="3"/>
  <c r="M21" i="3" s="1"/>
  <c r="J35" i="3"/>
  <c r="I38" i="3"/>
  <c r="J49" i="3"/>
  <c r="I52" i="3"/>
  <c r="M52" i="3" s="1"/>
  <c r="I55" i="3"/>
  <c r="I58" i="3"/>
  <c r="M58" i="3" s="1"/>
  <c r="J60" i="3"/>
  <c r="I71" i="3"/>
  <c r="J73" i="3"/>
  <c r="J76" i="3"/>
  <c r="J79" i="3"/>
  <c r="I82" i="3"/>
  <c r="M82" i="3" s="1"/>
  <c r="J99" i="3"/>
  <c r="J102" i="3"/>
  <c r="I111" i="3"/>
  <c r="J122" i="3"/>
  <c r="I125" i="3"/>
  <c r="M125" i="3" s="1"/>
  <c r="I128" i="3"/>
  <c r="J136" i="3"/>
  <c r="J139" i="3"/>
  <c r="J142" i="3"/>
  <c r="I145" i="3"/>
  <c r="M145" i="3" s="1"/>
  <c r="J162" i="3"/>
  <c r="J165" i="3"/>
  <c r="I168" i="3"/>
  <c r="M168" i="3" s="1"/>
  <c r="I171" i="3"/>
  <c r="M171" i="3" s="1"/>
  <c r="J185" i="3"/>
  <c r="J188" i="3"/>
  <c r="I191" i="3"/>
  <c r="M191" i="3" s="1"/>
  <c r="I194" i="3"/>
  <c r="J208" i="3"/>
  <c r="J211" i="3"/>
  <c r="J214" i="3"/>
  <c r="I217" i="3"/>
  <c r="M217" i="3" s="1"/>
  <c r="J234" i="3"/>
  <c r="J237" i="3"/>
  <c r="I240" i="3"/>
  <c r="I243" i="3"/>
  <c r="J257" i="3"/>
  <c r="J260" i="3"/>
  <c r="I263" i="3"/>
  <c r="I266" i="3"/>
  <c r="M266" i="3" s="1"/>
  <c r="J280" i="3"/>
  <c r="J283" i="3"/>
  <c r="J286" i="3"/>
  <c r="I289" i="3"/>
  <c r="M289" i="3" s="1"/>
  <c r="I19" i="3"/>
  <c r="J27" i="3"/>
  <c r="J30" i="3"/>
  <c r="J33" i="3"/>
  <c r="I36" i="3"/>
  <c r="M36" i="3" s="1"/>
  <c r="J47" i="3"/>
  <c r="I50" i="3"/>
  <c r="I65" i="3"/>
  <c r="J67" i="3"/>
  <c r="I74" i="3"/>
  <c r="I77" i="3"/>
  <c r="J94" i="3"/>
  <c r="I97" i="3"/>
  <c r="M97" i="3" s="1"/>
  <c r="I100" i="3"/>
  <c r="M100" i="3" s="1"/>
  <c r="I105" i="3"/>
  <c r="M105" i="3" s="1"/>
  <c r="J107" i="3"/>
  <c r="J120" i="3"/>
  <c r="I123" i="3"/>
  <c r="J134" i="3"/>
  <c r="I137" i="3"/>
  <c r="M137" i="3" s="1"/>
  <c r="I140" i="3"/>
  <c r="J157" i="3"/>
  <c r="I160" i="3"/>
  <c r="I163" i="3"/>
  <c r="M163" i="3" s="1"/>
  <c r="I166" i="3"/>
  <c r="M166" i="3" s="1"/>
  <c r="J180" i="3"/>
  <c r="J183" i="3"/>
  <c r="I186" i="3"/>
  <c r="M186" i="3" s="1"/>
  <c r="I189" i="3"/>
  <c r="J203" i="3"/>
  <c r="J206" i="3"/>
  <c r="I209" i="3"/>
  <c r="I212" i="3"/>
  <c r="J229" i="3"/>
  <c r="I232" i="3"/>
  <c r="I235" i="3"/>
  <c r="I238" i="3"/>
  <c r="M238" i="3" s="1"/>
  <c r="J252" i="3"/>
  <c r="J255" i="3"/>
  <c r="I258" i="3"/>
  <c r="I261" i="3"/>
  <c r="J275" i="3"/>
  <c r="J278" i="3"/>
  <c r="I281" i="3"/>
  <c r="I284" i="3"/>
  <c r="J301" i="3"/>
  <c r="I304" i="3"/>
  <c r="I307" i="3"/>
  <c r="M307" i="3" s="1"/>
  <c r="I310" i="3"/>
  <c r="J38" i="3"/>
  <c r="I30" i="3"/>
  <c r="M30" i="3" s="1"/>
  <c r="J18" i="3"/>
  <c r="J11" i="3"/>
  <c r="J15" i="3"/>
  <c r="J8" i="3"/>
  <c r="I6" i="3"/>
  <c r="I15" i="3"/>
  <c r="I8" i="3"/>
  <c r="M311" i="3" l="1"/>
  <c r="M239" i="3"/>
  <c r="M167" i="3"/>
  <c r="M190" i="3"/>
  <c r="M64" i="3"/>
  <c r="M46" i="3"/>
  <c r="M308" i="3"/>
  <c r="M164" i="3"/>
  <c r="M28" i="3"/>
  <c r="M115" i="3"/>
  <c r="M548" i="3"/>
  <c r="M807" i="3"/>
  <c r="M675" i="3"/>
  <c r="M800" i="3"/>
  <c r="M836" i="3"/>
  <c r="M644" i="3"/>
  <c r="M543" i="3"/>
  <c r="M501" i="3"/>
  <c r="M245" i="3"/>
  <c r="M891" i="3"/>
  <c r="M8" i="3"/>
  <c r="M74" i="3"/>
  <c r="M286" i="3"/>
  <c r="M214" i="3"/>
  <c r="M142" i="3"/>
  <c r="M127" i="3"/>
  <c r="M285" i="3"/>
  <c r="M141" i="3"/>
  <c r="M431" i="3"/>
  <c r="M586" i="3"/>
  <c r="M412" i="3"/>
  <c r="M572" i="3"/>
  <c r="M977" i="3"/>
  <c r="M829" i="3"/>
  <c r="M124" i="3"/>
  <c r="M657" i="3"/>
  <c r="M439" i="3"/>
  <c r="M507" i="3"/>
  <c r="M194" i="3"/>
  <c r="M277" i="3"/>
  <c r="M205" i="3"/>
  <c r="M133" i="3"/>
  <c r="M222" i="3"/>
  <c r="M54" i="3"/>
  <c r="M51" i="3"/>
  <c r="M514" i="3"/>
  <c r="M474" i="3"/>
  <c r="M658" i="3"/>
  <c r="M989" i="3"/>
  <c r="M456" i="3"/>
  <c r="M629" i="3"/>
  <c r="M75" i="3"/>
  <c r="M682" i="3"/>
  <c r="M284" i="3"/>
  <c r="M6" i="3"/>
  <c r="M50" i="3"/>
  <c r="M55" i="3"/>
  <c r="M693" i="3"/>
  <c r="M493" i="3"/>
  <c r="M914" i="3"/>
  <c r="M173" i="3"/>
  <c r="M833" i="3"/>
  <c r="M790" i="3"/>
  <c r="M212" i="3"/>
  <c r="M110" i="3"/>
  <c r="M132" i="3"/>
  <c r="M83" i="3"/>
  <c r="M430" i="3"/>
  <c r="M570" i="3"/>
  <c r="M518" i="3"/>
  <c r="M527" i="3"/>
  <c r="M630" i="3"/>
  <c r="M847" i="3"/>
  <c r="M971" i="3"/>
  <c r="M908" i="3"/>
  <c r="M261" i="3"/>
  <c r="M35" i="3"/>
  <c r="M259" i="3"/>
  <c r="M61" i="3"/>
  <c r="M290" i="3"/>
  <c r="M146" i="3"/>
  <c r="M542" i="3"/>
  <c r="M665" i="3"/>
  <c r="M936" i="3"/>
  <c r="M830" i="3"/>
  <c r="M770" i="3"/>
  <c r="M189" i="3"/>
  <c r="M243" i="3"/>
  <c r="M29" i="3"/>
  <c r="M253" i="3"/>
  <c r="M143" i="3"/>
  <c r="M513" i="3"/>
  <c r="M419" i="3"/>
  <c r="M676" i="3"/>
  <c r="M984" i="3"/>
  <c r="M553" i="3"/>
  <c r="M99" i="3"/>
  <c r="M236" i="3"/>
  <c r="M250" i="3"/>
  <c r="M178" i="3"/>
  <c r="M10" i="3"/>
  <c r="M537" i="3"/>
  <c r="M477" i="3"/>
  <c r="M812" i="3"/>
  <c r="M446" i="3"/>
  <c r="M496" i="3"/>
  <c r="M618" i="3"/>
  <c r="M504" i="3"/>
  <c r="M721" i="3"/>
  <c r="M701" i="3"/>
  <c r="M551" i="3"/>
  <c r="M951" i="3"/>
  <c r="M726" i="3"/>
  <c r="M950" i="3"/>
  <c r="M975" i="3"/>
  <c r="M808" i="3"/>
  <c r="M732" i="3"/>
  <c r="M150" i="3"/>
  <c r="M187" i="3"/>
  <c r="M246" i="3"/>
  <c r="M235" i="3"/>
  <c r="M123" i="3"/>
  <c r="M37" i="3"/>
  <c r="M262" i="3"/>
  <c r="M181" i="3"/>
  <c r="M287" i="3"/>
  <c r="M116" i="3"/>
  <c r="M81" i="3"/>
  <c r="M231" i="3"/>
  <c r="M237" i="3"/>
  <c r="M216" i="3"/>
  <c r="M310" i="3"/>
  <c r="M19" i="3"/>
  <c r="M18" i="3"/>
  <c r="M162" i="3"/>
  <c r="M11" i="3"/>
  <c r="M176" i="3"/>
  <c r="M113" i="3"/>
  <c r="M305" i="3"/>
  <c r="M233" i="3"/>
  <c r="M161" i="3"/>
  <c r="M78" i="3"/>
  <c r="M247" i="3"/>
  <c r="M175" i="3"/>
  <c r="M267" i="3"/>
  <c r="M195" i="3"/>
  <c r="M582" i="3"/>
  <c r="M606" i="3"/>
  <c r="M674" i="3"/>
  <c r="M159" i="3"/>
  <c r="M304" i="3"/>
  <c r="M232" i="3"/>
  <c r="M160" i="3"/>
  <c r="M77" i="3"/>
  <c r="M300" i="3"/>
  <c r="M228" i="3"/>
  <c r="M156" i="3"/>
  <c r="M265" i="3"/>
  <c r="M193" i="3"/>
  <c r="M130" i="3"/>
  <c r="M299" i="3"/>
  <c r="M227" i="3"/>
  <c r="M155" i="3"/>
  <c r="M89" i="3"/>
  <c r="M27" i="3"/>
  <c r="M575" i="3"/>
  <c r="M988" i="3"/>
  <c r="M438" i="3"/>
  <c r="M655" i="3"/>
  <c r="M659" i="3"/>
  <c r="M609" i="3"/>
  <c r="M967" i="3"/>
  <c r="M991" i="3"/>
  <c r="M815" i="3"/>
  <c r="M940" i="3"/>
  <c r="M76" i="3"/>
  <c r="M90" i="3"/>
  <c r="M296" i="3"/>
  <c r="M152" i="3"/>
  <c r="M646" i="3"/>
  <c r="M522" i="3"/>
  <c r="M980" i="3"/>
  <c r="M962" i="3"/>
  <c r="M283" i="3"/>
  <c r="M211" i="3"/>
  <c r="M139" i="3"/>
  <c r="M73" i="3"/>
  <c r="M62" i="3"/>
  <c r="M297" i="3"/>
  <c r="M225" i="3"/>
  <c r="M153" i="3"/>
  <c r="M87" i="3"/>
  <c r="M57" i="3"/>
  <c r="M282" i="3"/>
  <c r="M210" i="3"/>
  <c r="M138" i="3"/>
  <c r="M293" i="3"/>
  <c r="M221" i="3"/>
  <c r="M149" i="3"/>
  <c r="M241" i="3"/>
  <c r="M103" i="3"/>
  <c r="M39" i="3"/>
  <c r="M608" i="3"/>
  <c r="M443" i="3"/>
  <c r="M610" i="3"/>
  <c r="M785" i="3"/>
  <c r="M761" i="3"/>
  <c r="M673" i="3"/>
  <c r="M614" i="3"/>
  <c r="M517" i="3"/>
  <c r="M555" i="3"/>
  <c r="M731" i="3"/>
  <c r="M487" i="3"/>
  <c r="M416" i="3"/>
  <c r="M890" i="3"/>
  <c r="M942" i="3"/>
  <c r="M939" i="3"/>
  <c r="M799" i="3"/>
  <c r="M953" i="3"/>
  <c r="M281" i="3"/>
  <c r="M128" i="3"/>
  <c r="M280" i="3"/>
  <c r="M136" i="3"/>
  <c r="M7" i="3"/>
  <c r="M279" i="3"/>
  <c r="M207" i="3"/>
  <c r="M135" i="3"/>
  <c r="M751" i="3"/>
  <c r="M15" i="3"/>
  <c r="M209" i="3"/>
  <c r="M65" i="3"/>
  <c r="M208" i="3"/>
  <c r="M60" i="3"/>
  <c r="M119" i="3"/>
  <c r="M314" i="3"/>
  <c r="M242" i="3"/>
  <c r="M170" i="3"/>
  <c r="M121" i="3"/>
  <c r="M204" i="3"/>
  <c r="M917" i="3"/>
  <c r="M626" i="3"/>
  <c r="M981" i="3"/>
  <c r="M49" i="3"/>
  <c r="M201" i="3"/>
  <c r="M712" i="3"/>
  <c r="M188" i="3"/>
  <c r="M108" i="3"/>
  <c r="M273" i="3"/>
  <c r="M257" i="3"/>
  <c r="M101" i="3"/>
  <c r="M270" i="3"/>
  <c r="M198" i="3"/>
  <c r="M16" i="3"/>
  <c r="M560" i="3"/>
  <c r="M465" i="3"/>
  <c r="M776" i="3"/>
  <c r="M722" i="3"/>
  <c r="M819" i="3"/>
  <c r="M414" i="3"/>
  <c r="M754" i="3"/>
  <c r="M602" i="3"/>
  <c r="M230" i="3"/>
  <c r="M122" i="3"/>
  <c r="M185" i="3"/>
  <c r="M274" i="3"/>
  <c r="M38" i="3"/>
  <c r="M254" i="3"/>
  <c r="M182" i="3"/>
  <c r="M271" i="3"/>
  <c r="M199" i="3"/>
  <c r="M17" i="3"/>
  <c r="M256" i="3"/>
  <c r="M184" i="3"/>
  <c r="M98" i="3"/>
  <c r="M34" i="3"/>
  <c r="M215" i="3"/>
  <c r="M9" i="3"/>
  <c r="M366" i="3"/>
  <c r="M478" i="3"/>
  <c r="M932" i="3"/>
  <c r="M825" i="3"/>
  <c r="M878" i="3"/>
  <c r="M865" i="3"/>
  <c r="M260" i="3"/>
  <c r="M258" i="3"/>
  <c r="M240" i="3"/>
  <c r="M102" i="3"/>
  <c r="M26" i="3"/>
  <c r="M268" i="3"/>
  <c r="M196" i="3"/>
  <c r="M291" i="3"/>
  <c r="M219" i="3"/>
  <c r="M147" i="3"/>
  <c r="M84" i="3"/>
  <c r="M31" i="3"/>
  <c r="M118" i="3"/>
  <c r="M5" i="3"/>
  <c r="M421" i="3"/>
  <c r="M590" i="3"/>
  <c r="M165" i="3"/>
  <c r="M96" i="3"/>
  <c r="M288" i="3"/>
  <c r="M144" i="3"/>
  <c r="M92" i="3"/>
  <c r="M45" i="3"/>
  <c r="M489" i="3"/>
  <c r="M628" i="3"/>
  <c r="M956" i="3"/>
  <c r="M440" i="3"/>
  <c r="M707" i="3"/>
  <c r="M792" i="3"/>
  <c r="M816" i="3"/>
  <c r="M88" i="3"/>
  <c r="M912" i="3"/>
  <c r="M695" i="3"/>
  <c r="M180" i="3"/>
  <c r="M272" i="3"/>
  <c r="M997" i="3"/>
  <c r="M220" i="3"/>
  <c r="M935" i="3"/>
  <c r="M849" i="3"/>
  <c r="M766" i="3"/>
  <c r="M708" i="3"/>
  <c r="M954" i="3"/>
  <c r="M976" i="3"/>
  <c r="M892" i="3"/>
  <c r="M822" i="3"/>
  <c r="M667" i="3"/>
  <c r="M492" i="3"/>
  <c r="M696" i="3"/>
  <c r="M427" i="3"/>
  <c r="M535" i="3"/>
  <c r="M733" i="3"/>
  <c r="M906" i="3"/>
  <c r="M996" i="3"/>
  <c r="M408" i="3"/>
  <c r="M316" i="3"/>
  <c r="M157" i="3"/>
  <c r="M295" i="3"/>
  <c r="M315" i="3"/>
  <c r="M363" i="3"/>
  <c r="M365" i="3"/>
  <c r="M234" i="3"/>
  <c r="M248" i="3"/>
  <c r="M524" i="3"/>
  <c r="M848" i="3"/>
  <c r="M549" i="3"/>
  <c r="M860" i="3"/>
  <c r="M596" i="3"/>
  <c r="M773" i="3"/>
  <c r="M697" i="3"/>
  <c r="M445" i="3"/>
  <c r="M637" i="3"/>
  <c r="M516" i="3"/>
  <c r="M747" i="3"/>
  <c r="M828" i="3"/>
  <c r="M724" i="3"/>
  <c r="M743" i="3"/>
  <c r="M466" i="3"/>
  <c r="M985" i="3"/>
  <c r="M745" i="3"/>
  <c r="M805" i="3"/>
  <c r="M252" i="3"/>
  <c r="M320" i="3"/>
  <c r="M823" i="3"/>
  <c r="M306" i="3"/>
  <c r="M862" i="3"/>
  <c r="M292" i="3"/>
  <c r="M974" i="3"/>
  <c r="M853" i="3"/>
  <c r="M670" i="3"/>
  <c r="M947" i="3"/>
  <c r="M762" i="3"/>
  <c r="M979" i="3"/>
  <c r="M910" i="3"/>
  <c r="M727" i="3"/>
  <c r="M817" i="3"/>
  <c r="M581" i="3"/>
  <c r="M720" i="3"/>
  <c r="M617" i="3"/>
  <c r="M832" i="3"/>
  <c r="M784" i="3"/>
  <c r="M998" i="3"/>
  <c r="M344" i="3"/>
  <c r="M875" i="3"/>
  <c r="M328" i="3"/>
  <c r="M177" i="3"/>
  <c r="M229" i="3"/>
  <c r="M319" i="3"/>
  <c r="M373" i="3"/>
  <c r="M302" i="3"/>
  <c r="M158" i="3"/>
  <c r="M244" i="3"/>
  <c r="M172" i="3"/>
  <c r="M580" i="3"/>
  <c r="M462" i="3"/>
  <c r="M666" i="3"/>
  <c r="M604" i="3"/>
  <c r="M640" i="3"/>
  <c r="M607" i="3"/>
  <c r="M771" i="3"/>
  <c r="M332" i="3"/>
  <c r="M978" i="3"/>
  <c r="M968" i="3"/>
  <c r="M969" i="3"/>
  <c r="M886" i="3"/>
  <c r="M911" i="3"/>
  <c r="M634" i="3"/>
  <c r="M559" i="3"/>
  <c r="M681" i="3"/>
  <c r="M461" i="3"/>
  <c r="M418" i="3"/>
  <c r="M679" i="3"/>
  <c r="M595" i="3"/>
  <c r="M859" i="3"/>
  <c r="M811" i="3"/>
  <c r="M374" i="3"/>
  <c r="M298" i="3"/>
  <c r="M356" i="3"/>
  <c r="M318" i="3"/>
  <c r="M340" i="3"/>
  <c r="M249" i="3"/>
  <c r="M313" i="3"/>
  <c r="M343" i="3"/>
  <c r="M331" i="3"/>
  <c r="M275" i="3"/>
  <c r="M347" i="3"/>
  <c r="M377" i="3"/>
  <c r="M562" i="3"/>
  <c r="M417" i="3"/>
  <c r="M512" i="3"/>
  <c r="M821" i="3"/>
  <c r="M687" i="3"/>
  <c r="M742" i="3"/>
  <c r="M638" i="3"/>
  <c r="M484" i="3"/>
  <c r="M448" i="3"/>
  <c r="M649" i="3"/>
  <c r="M494" i="3"/>
  <c r="M154" i="3"/>
  <c r="M423" i="3"/>
  <c r="M468" i="3"/>
  <c r="M838" i="3"/>
  <c r="M826" i="3"/>
  <c r="M558" i="3"/>
  <c r="M858" i="3"/>
  <c r="M913" i="3"/>
  <c r="M519" i="3"/>
  <c r="M937" i="3"/>
  <c r="M741" i="3"/>
  <c r="M765" i="3"/>
  <c r="M574" i="3"/>
  <c r="M796" i="3"/>
  <c r="M619" i="3"/>
  <c r="M500" i="3"/>
  <c r="M497" i="3"/>
  <c r="M945" i="3"/>
  <c r="M386" i="3"/>
  <c r="M322" i="3"/>
  <c r="M368" i="3"/>
  <c r="M330" i="3"/>
  <c r="M352" i="3"/>
  <c r="M309" i="3"/>
  <c r="M325" i="3"/>
  <c r="M355" i="3"/>
  <c r="M203" i="3"/>
  <c r="M341" i="3"/>
  <c r="M371" i="3"/>
  <c r="M389" i="3"/>
  <c r="M791" i="3"/>
  <c r="M213" i="3"/>
  <c r="M224" i="3"/>
  <c r="M620" i="3"/>
  <c r="M536" i="3"/>
  <c r="M881" i="3"/>
  <c r="M843" i="3"/>
  <c r="M903" i="3"/>
  <c r="M824" i="3"/>
  <c r="M424" i="3"/>
  <c r="M652" i="3"/>
  <c r="M661" i="3"/>
  <c r="M525" i="3"/>
  <c r="M226" i="3"/>
  <c r="M703" i="3"/>
  <c r="M545" i="3"/>
  <c r="M734" i="3"/>
  <c r="M671" i="3"/>
  <c r="M777" i="3"/>
  <c r="M864" i="3"/>
  <c r="M464" i="3"/>
  <c r="M900" i="3"/>
  <c r="M437" i="3"/>
  <c r="M841" i="3"/>
  <c r="M844" i="3"/>
  <c r="M856" i="3"/>
  <c r="M810" i="3"/>
  <c r="M151" i="3"/>
  <c r="M919" i="3"/>
  <c r="M521" i="3"/>
  <c r="M653" i="3"/>
  <c r="M995" i="3"/>
  <c r="M918" i="3"/>
  <c r="M934" i="3"/>
  <c r="M882" i="3"/>
  <c r="M746" i="3"/>
  <c r="M444" i="3"/>
  <c r="M883" i="3"/>
  <c r="M781" i="3"/>
  <c r="M539" i="3"/>
  <c r="M631" i="3"/>
  <c r="M552" i="3"/>
  <c r="M660" i="3"/>
  <c r="M312" i="3"/>
  <c r="M834" i="3"/>
  <c r="M398" i="3"/>
  <c r="M334" i="3"/>
  <c r="M380" i="3"/>
  <c r="M342" i="3"/>
  <c r="M364" i="3"/>
  <c r="M321" i="3"/>
  <c r="M337" i="3"/>
  <c r="M367" i="3"/>
  <c r="M301" i="3"/>
  <c r="M407" i="3"/>
  <c r="M401" i="3"/>
  <c r="M169" i="3"/>
  <c r="M532" i="3"/>
  <c r="M616" i="3"/>
  <c r="M748" i="3"/>
  <c r="M460" i="3"/>
  <c r="M780" i="3"/>
  <c r="M753" i="3"/>
  <c r="M895" i="3"/>
  <c r="M835" i="3"/>
  <c r="M923" i="3"/>
  <c r="M476" i="3"/>
  <c r="M948" i="3"/>
  <c r="M698" i="3"/>
  <c r="M711" i="3"/>
  <c r="M880" i="3"/>
  <c r="M615" i="3"/>
  <c r="M533" i="3"/>
  <c r="M413" i="3"/>
  <c r="M442" i="3"/>
  <c r="M662" i="3"/>
  <c r="M591" i="3"/>
  <c r="M723" i="3"/>
  <c r="M576" i="3"/>
  <c r="M488" i="3"/>
  <c r="M324" i="3"/>
  <c r="M410" i="3"/>
  <c r="M346" i="3"/>
  <c r="M392" i="3"/>
  <c r="M354" i="3"/>
  <c r="M376" i="3"/>
  <c r="M333" i="3"/>
  <c r="M349" i="3"/>
  <c r="M379" i="3"/>
  <c r="M323" i="3"/>
  <c r="M335" i="3"/>
  <c r="M383" i="3"/>
  <c r="M294" i="3"/>
  <c r="M441" i="3"/>
  <c r="M869" i="3"/>
  <c r="M915" i="3"/>
  <c r="M764" i="3"/>
  <c r="M704" i="3"/>
  <c r="M568" i="3"/>
  <c r="M680" i="3"/>
  <c r="M589" i="3"/>
  <c r="M434" i="3"/>
  <c r="M605" i="3"/>
  <c r="M783" i="3"/>
  <c r="M495" i="3"/>
  <c r="M540" i="3"/>
  <c r="M866" i="3"/>
  <c r="M420" i="3"/>
  <c r="M459" i="3"/>
  <c r="M206" i="3"/>
  <c r="M447" i="3"/>
  <c r="M928" i="3"/>
  <c r="M715" i="3"/>
  <c r="M786" i="3"/>
  <c r="M963" i="3"/>
  <c r="M735" i="3"/>
  <c r="M624" i="3"/>
  <c r="M435" i="3"/>
  <c r="M499" i="3"/>
  <c r="M567" i="3"/>
  <c r="M651" i="3"/>
  <c r="M583" i="3"/>
  <c r="M336" i="3"/>
  <c r="M861" i="3"/>
  <c r="M358" i="3"/>
  <c r="M404" i="3"/>
  <c r="M388" i="3"/>
  <c r="M345" i="3"/>
  <c r="M385" i="3"/>
  <c r="M403" i="3"/>
  <c r="M339" i="3"/>
  <c r="M317" i="3"/>
  <c r="M375" i="3"/>
  <c r="M263" i="3"/>
  <c r="M276" i="3"/>
  <c r="M632" i="3"/>
  <c r="M705" i="3"/>
  <c r="M623" i="3"/>
  <c r="M809" i="3"/>
  <c r="M872" i="3"/>
  <c r="M694" i="3"/>
  <c r="M472" i="3"/>
  <c r="M508" i="3"/>
  <c r="M498" i="3"/>
  <c r="M422" i="3"/>
  <c r="M686" i="3"/>
  <c r="M737" i="3"/>
  <c r="M739" i="3"/>
  <c r="M563" i="3"/>
  <c r="M888" i="3"/>
  <c r="M600" i="3"/>
  <c r="M509" i="3"/>
  <c r="M884" i="3"/>
  <c r="M449" i="3"/>
  <c r="M896" i="3"/>
  <c r="M930" i="3"/>
  <c r="M887" i="3"/>
  <c r="M763" i="3"/>
  <c r="M775" i="3"/>
  <c r="M899" i="3"/>
  <c r="M814" i="3"/>
  <c r="M758" i="3"/>
  <c r="M278" i="3"/>
  <c r="M870" i="3"/>
  <c r="M999" i="3"/>
  <c r="M772" i="3"/>
  <c r="M612" i="3"/>
  <c r="M432" i="3"/>
  <c r="M579" i="3"/>
  <c r="M713" i="3"/>
  <c r="M648" i="3"/>
  <c r="M475" i="3"/>
  <c r="M348" i="3"/>
  <c r="M955" i="3"/>
  <c r="M370" i="3"/>
  <c r="M400" i="3"/>
  <c r="M357" i="3"/>
  <c r="M397" i="3"/>
  <c r="M351" i="3"/>
  <c r="M399" i="3"/>
  <c r="M650" i="3"/>
  <c r="M520" i="3"/>
  <c r="M577" i="3"/>
  <c r="M689" i="3"/>
  <c r="M597" i="3"/>
  <c r="M744" i="3"/>
  <c r="M801" i="3"/>
  <c r="M200" i="3"/>
  <c r="M174" i="3"/>
  <c r="M889" i="3"/>
  <c r="M767" i="3"/>
  <c r="M983" i="3"/>
  <c r="M779" i="3"/>
  <c r="M787" i="3"/>
  <c r="M964" i="3"/>
  <c r="M793" i="3"/>
  <c r="M326" i="3"/>
  <c r="M571" i="3"/>
  <c r="M526" i="3"/>
  <c r="M922" i="3"/>
  <c r="M827" i="3"/>
  <c r="M931" i="3"/>
  <c r="M851" i="3"/>
  <c r="M993" i="3"/>
  <c r="M871" i="3"/>
  <c r="M778" i="3"/>
  <c r="M603" i="3"/>
  <c r="M710" i="3"/>
  <c r="M428" i="3"/>
  <c r="M639" i="3"/>
  <c r="M564" i="3"/>
  <c r="M360" i="3"/>
  <c r="M898" i="3"/>
  <c r="M990" i="3"/>
  <c r="M382" i="3"/>
  <c r="M183" i="3"/>
  <c r="M369" i="3"/>
  <c r="M393" i="3"/>
  <c r="M405" i="3"/>
  <c r="M197" i="3"/>
  <c r="M269" i="3"/>
  <c r="M387" i="3"/>
  <c r="M544" i="3"/>
  <c r="M556" i="3"/>
  <c r="M692" i="3"/>
  <c r="M684" i="3"/>
  <c r="M635" i="3"/>
  <c r="M924" i="3"/>
  <c r="M645" i="3"/>
  <c r="M987" i="3"/>
  <c r="M789" i="3"/>
  <c r="M338" i="3"/>
  <c r="M925" i="3"/>
  <c r="M839" i="3"/>
  <c r="M907" i="3"/>
  <c r="M868" i="3"/>
  <c r="M725" i="3"/>
  <c r="M683" i="3"/>
  <c r="M593" i="3"/>
  <c r="M569" i="3"/>
  <c r="M490" i="3"/>
  <c r="M415" i="3"/>
  <c r="M636" i="3"/>
  <c r="M561" i="3"/>
  <c r="M372" i="3"/>
  <c r="M394" i="3"/>
  <c r="M813" i="3"/>
  <c r="M959" i="3"/>
  <c r="M255" i="3"/>
  <c r="M381" i="3"/>
  <c r="M409" i="3"/>
  <c r="M327" i="3"/>
  <c r="M329" i="3"/>
  <c r="M395" i="3"/>
  <c r="M677" i="3"/>
  <c r="M453" i="3"/>
  <c r="M730" i="3"/>
  <c r="M855" i="3"/>
  <c r="M752" i="3"/>
  <c r="M797" i="3"/>
  <c r="M857" i="3"/>
  <c r="M592" i="3"/>
  <c r="M759" i="3"/>
  <c r="M565" i="3"/>
  <c r="M469" i="3"/>
  <c r="M529" i="3"/>
  <c r="M510" i="3"/>
  <c r="M450" i="3"/>
  <c r="M795" i="3"/>
  <c r="M719" i="3"/>
  <c r="M641" i="3"/>
  <c r="M933" i="3"/>
  <c r="M952" i="3"/>
  <c r="M966" i="3"/>
  <c r="M350" i="3"/>
  <c r="M425" i="3"/>
  <c r="M986" i="3"/>
  <c r="M901" i="3"/>
  <c r="M760" i="3"/>
  <c r="M483" i="3"/>
  <c r="M672" i="3"/>
  <c r="M531" i="3"/>
  <c r="M691" i="3"/>
  <c r="M633" i="3"/>
  <c r="M877" i="3"/>
  <c r="M902" i="3"/>
  <c r="M384" i="3"/>
  <c r="M406" i="3"/>
  <c r="M863" i="3"/>
  <c r="M961" i="3"/>
  <c r="M91" i="3"/>
  <c r="M359" i="3"/>
  <c r="M353" i="3"/>
  <c r="M251" i="3"/>
  <c r="M179" i="3"/>
  <c r="M95" i="3"/>
  <c r="M584" i="3"/>
  <c r="M740" i="3"/>
  <c r="M467" i="3"/>
  <c r="M879" i="3"/>
  <c r="M867" i="3"/>
  <c r="M845" i="3"/>
  <c r="M642" i="3"/>
  <c r="M436" i="3"/>
  <c r="M709" i="3"/>
  <c r="M690" i="3"/>
  <c r="M485" i="3"/>
  <c r="M714" i="3"/>
  <c r="M804" i="3"/>
  <c r="M669" i="3"/>
  <c r="M547" i="3"/>
  <c r="M769" i="3"/>
  <c r="M876" i="3"/>
  <c r="M598" i="3"/>
  <c r="M120" i="3"/>
  <c r="M973" i="3"/>
  <c r="M798" i="3"/>
  <c r="M837" i="3"/>
  <c r="M148" i="3"/>
  <c r="M362" i="3"/>
  <c r="M894" i="3"/>
  <c r="M774" i="3"/>
  <c r="M916" i="3"/>
  <c r="M757" i="3"/>
  <c r="M599" i="3"/>
  <c r="M755" i="3"/>
  <c r="M480" i="3"/>
  <c r="M688" i="3"/>
  <c r="M803" i="3"/>
  <c r="M904" i="3"/>
  <c r="M994" i="3"/>
  <c r="M396" i="3"/>
  <c r="M223" i="3"/>
  <c r="M391" i="3"/>
  <c r="M361" i="3"/>
  <c r="M69" i="3"/>
  <c r="M14" i="3"/>
  <c r="M93" i="3"/>
  <c r="M43" i="3"/>
  <c r="M112" i="3"/>
  <c r="M42" i="3"/>
  <c r="M129" i="3"/>
  <c r="M63" i="3"/>
  <c r="M41" i="3"/>
  <c r="M114" i="3"/>
  <c r="M79" i="3"/>
  <c r="M25" i="3"/>
  <c r="M131" i="3"/>
  <c r="M109" i="3"/>
  <c r="M106" i="3"/>
  <c r="M53" i="3"/>
  <c r="M71" i="3"/>
  <c r="M23" i="3"/>
  <c r="M66" i="3"/>
  <c r="M68" i="3"/>
  <c r="M70" i="3"/>
  <c r="M86" i="3"/>
  <c r="M12" i="3"/>
  <c r="M134" i="3"/>
  <c r="M94" i="3"/>
  <c r="M59" i="3"/>
  <c r="M85" i="3"/>
  <c r="M48" i="3"/>
  <c r="M72" i="3"/>
  <c r="M22" i="3"/>
  <c r="M44" i="3"/>
  <c r="M47" i="3"/>
  <c r="M67" i="3"/>
  <c r="M24" i="3"/>
  <c r="M117" i="3"/>
  <c r="M111" i="3"/>
  <c r="M104" i="3"/>
  <c r="M20" i="3"/>
  <c r="M33" i="3"/>
  <c r="M107" i="3"/>
  <c r="M140" i="3"/>
  <c r="M4" i="3" l="1"/>
  <c r="P20" i="3" s="1"/>
  <c r="P21" i="3" s="1"/>
</calcChain>
</file>

<file path=xl/sharedStrings.xml><?xml version="1.0" encoding="utf-8"?>
<sst xmlns="http://schemas.openxmlformats.org/spreadsheetml/2006/main" count="145" uniqueCount="121">
  <si>
    <t>BR18 Bilag 2 Tabel 9</t>
  </si>
  <si>
    <t>Konstruktion</t>
  </si>
  <si>
    <t>Referenceværdi</t>
  </si>
  <si>
    <t>Formler</t>
  </si>
  <si>
    <t>Etage- og kælderdæk </t>
  </si>
  <si>
    <t>Konstruktioner</t>
  </si>
  <si>
    <t>Fundamenter</t>
  </si>
  <si>
    <t>Gulv</t>
  </si>
  <si>
    <t>Loft</t>
  </si>
  <si>
    <t>Indervæg</t>
  </si>
  <si>
    <t>Tag</t>
  </si>
  <si>
    <t>Terrændæk/pladefundament</t>
  </si>
  <si>
    <t>Søjler/bjælker</t>
  </si>
  <si>
    <t>Installationer</t>
  </si>
  <si>
    <t>Ydervæg og kælderydervæg</t>
  </si>
  <si>
    <t>Standardværdi</t>
  </si>
  <si>
    <t>A1-A3</t>
  </si>
  <si>
    <t>C3</t>
  </si>
  <si>
    <t>C4</t>
  </si>
  <si>
    <t>C</t>
  </si>
  <si>
    <t>Total</t>
  </si>
  <si>
    <t>BR18 Bilag 2 Tabel 7</t>
  </si>
  <si>
    <t>Classification Type</t>
  </si>
  <si>
    <t>Identifier</t>
  </si>
  <si>
    <t>Classification</t>
  </si>
  <si>
    <t>Code</t>
  </si>
  <si>
    <t>Type Name</t>
  </si>
  <si>
    <t>Construction Name</t>
  </si>
  <si>
    <t>Material Name</t>
  </si>
  <si>
    <t>Model</t>
  </si>
  <si>
    <t>Type Elements (count)</t>
  </si>
  <si>
    <t>Quantity</t>
  </si>
  <si>
    <t>Unit</t>
  </si>
  <si>
    <t>Lifetime (years)</t>
  </si>
  <si>
    <t>Emission (kgCO₂-eq/m²/year)</t>
  </si>
  <si>
    <t/>
  </si>
  <si>
    <t>Dropdown</t>
  </si>
  <si>
    <t>Type særlige forhold</t>
  </si>
  <si>
    <t>Tillæg til grænseværdi</t>
  </si>
  <si>
    <t>Konstruktionens areal</t>
  </si>
  <si>
    <t>Tillæg til for konstruktioner</t>
  </si>
  <si>
    <t>Tillæg til for søjler/bjælker</t>
  </si>
  <si>
    <t>Søjle/bjælkens længde</t>
  </si>
  <si>
    <t>Tillæg til for fundamenter</t>
  </si>
  <si>
    <t>Tillæg til for installationer</t>
  </si>
  <si>
    <t>Samlet opvarmet etageareal</t>
  </si>
  <si>
    <t>Manuel beregning af tillæg til CO2-grænseværdi iht. BR18 §298, Stk. 4</t>
  </si>
  <si>
    <t>Output</t>
  </si>
  <si>
    <t>Tillæg til CO2-grænseværdi</t>
  </si>
  <si>
    <r>
      <t>m</t>
    </r>
    <r>
      <rPr>
        <vertAlign val="superscript"/>
        <sz val="11"/>
        <color theme="1"/>
        <rFont val="Aptos Narrow"/>
        <family val="2"/>
        <scheme val="minor"/>
      </rPr>
      <t>2</t>
    </r>
  </si>
  <si>
    <t>= Manuel indtastning</t>
  </si>
  <si>
    <t>CO2-grænseværdi</t>
  </si>
  <si>
    <t>Over jord</t>
  </si>
  <si>
    <t>Under jord</t>
  </si>
  <si>
    <t>Samlet bruttoetageareal jf. §297 stk. 3</t>
  </si>
  <si>
    <t>Referenceareal</t>
  </si>
  <si>
    <r>
      <t>m</t>
    </r>
    <r>
      <rPr>
        <b/>
        <vertAlign val="superscript"/>
        <sz val="11"/>
        <color theme="1"/>
        <rFont val="Aptos Narrow"/>
        <family val="2"/>
        <scheme val="minor"/>
      </rPr>
      <t>2</t>
    </r>
  </si>
  <si>
    <t>Ukorrigeret CO2-grænseværdi</t>
  </si>
  <si>
    <r>
      <t>kg CO</t>
    </r>
    <r>
      <rPr>
        <b/>
        <vertAlign val="sub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>e/m</t>
    </r>
    <r>
      <rPr>
        <b/>
        <vertAlign val="super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>/år</t>
    </r>
  </si>
  <si>
    <r>
      <t>kg CO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e/m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/år</t>
    </r>
  </si>
  <si>
    <t>Enfamiliehuse, afløb</t>
  </si>
  <si>
    <t>Enfamiliehuse, vand</t>
  </si>
  <si>
    <t>Enfamiliehuse, varme, ventilation og køl</t>
  </si>
  <si>
    <t>Rækkehuse, afløb</t>
  </si>
  <si>
    <t>Rækkehuse, vand</t>
  </si>
  <si>
    <t>Rækkehuse, varme, ventilation og køl</t>
  </si>
  <si>
    <t>Etageboliger, afløb</t>
  </si>
  <si>
    <t>Etageboliger, vand</t>
  </si>
  <si>
    <t>Etageboliger,varme, ventilation og køl</t>
  </si>
  <si>
    <t>Kontor, skoler og daginstitutioner, afløb</t>
  </si>
  <si>
    <t>Kontor, skoler og daginstitutioner, vand</t>
  </si>
  <si>
    <t>Kontor, skoler og daginstitutioner, varme, ventilation og køl</t>
  </si>
  <si>
    <t>Øvrige bygninger, afløb</t>
  </si>
  <si>
    <t>Øvrige bygninger, vand</t>
  </si>
  <si>
    <t>Øvrige bygninger, varme, ventilation og køl</t>
  </si>
  <si>
    <t>Data import</t>
  </si>
  <si>
    <r>
      <t>[m</t>
    </r>
    <r>
      <rPr>
        <b/>
        <vertAlign val="super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>]</t>
    </r>
  </si>
  <si>
    <t>[m]</t>
  </si>
  <si>
    <t>[-]</t>
  </si>
  <si>
    <t>Emission</t>
  </si>
  <si>
    <t>[kg CO₂e/m²/year]</t>
  </si>
  <si>
    <t>Input</t>
  </si>
  <si>
    <t>Instruktioner</t>
  </si>
  <si>
    <t>Trin 1</t>
  </si>
  <si>
    <t>Trin 2</t>
  </si>
  <si>
    <t>Name</t>
  </si>
  <si>
    <t>Stage</t>
  </si>
  <si>
    <t>Building type</t>
  </si>
  <si>
    <t>Project Number</t>
  </si>
  <si>
    <t>Year of commissioning</t>
  </si>
  <si>
    <t>Area above ground</t>
  </si>
  <si>
    <t>Area below ground</t>
  </si>
  <si>
    <t>Total area</t>
  </si>
  <si>
    <t>Floors above ground</t>
  </si>
  <si>
    <t>Floors below ground</t>
  </si>
  <si>
    <t>Heated area above ground</t>
  </si>
  <si>
    <t>Heated area below ground</t>
  </si>
  <si>
    <t>Street</t>
  </si>
  <si>
    <t>Street number</t>
  </si>
  <si>
    <t>Postal code</t>
  </si>
  <si>
    <t>City</t>
  </si>
  <si>
    <t>Country</t>
  </si>
  <si>
    <r>
      <t xml:space="preserve">Gå til færdigt-mappet projekt i RealTime-LCA og tryk </t>
    </r>
    <r>
      <rPr>
        <b/>
        <i/>
        <sz val="11"/>
        <color theme="1"/>
        <rFont val="Aptos Narrow"/>
        <family val="2"/>
        <scheme val="minor"/>
      </rPr>
      <t>Download as Excel</t>
    </r>
  </si>
  <si>
    <r>
      <t xml:space="preserve">Åben den downloadede fil &gt; Gå til fanen </t>
    </r>
    <r>
      <rPr>
        <b/>
        <i/>
        <sz val="11"/>
        <color theme="1"/>
        <rFont val="Aptos Narrow"/>
        <family val="2"/>
        <scheme val="minor"/>
      </rPr>
      <t>Project Data</t>
    </r>
    <r>
      <rPr>
        <sz val="11"/>
        <color theme="1"/>
        <rFont val="Aptos Narrow"/>
        <family val="2"/>
        <scheme val="minor"/>
      </rPr>
      <t xml:space="preserve"> &gt; Kopier celle A1-Q2 &gt; Gå til fanen </t>
    </r>
    <r>
      <rPr>
        <b/>
        <i/>
        <sz val="11"/>
        <color theme="1"/>
        <rFont val="Aptos Narrow"/>
        <family val="2"/>
        <scheme val="minor"/>
      </rPr>
      <t>Importér data</t>
    </r>
    <r>
      <rPr>
        <sz val="11"/>
        <color theme="1"/>
        <rFont val="Aptos Narrow"/>
        <family val="2"/>
        <scheme val="minor"/>
      </rPr>
      <t xml:space="preserve"> i dette regneark og indsæt dataen i celle B7</t>
    </r>
  </si>
  <si>
    <t>Trin 3</t>
  </si>
  <si>
    <r>
      <t xml:space="preserve">Åben den downloadede fil &gt; Gå til fanen </t>
    </r>
    <r>
      <rPr>
        <b/>
        <i/>
        <sz val="11"/>
        <color theme="1"/>
        <rFont val="Aptos Narrow"/>
        <family val="2"/>
        <scheme val="minor"/>
      </rPr>
      <t>Project Breakdown</t>
    </r>
    <r>
      <rPr>
        <sz val="11"/>
        <color theme="1"/>
        <rFont val="Aptos Narrow"/>
        <family val="2"/>
        <scheme val="minor"/>
      </rPr>
      <t xml:space="preserve"> &gt; Kopier al data i fanen &gt; Gå til fanen </t>
    </r>
    <r>
      <rPr>
        <b/>
        <i/>
        <sz val="11"/>
        <color theme="1"/>
        <rFont val="Aptos Narrow"/>
        <family val="2"/>
        <scheme val="minor"/>
      </rPr>
      <t>Importér data</t>
    </r>
    <r>
      <rPr>
        <sz val="11"/>
        <color theme="1"/>
        <rFont val="Aptos Narrow"/>
        <family val="2"/>
        <scheme val="minor"/>
      </rPr>
      <t xml:space="preserve"> i dette regneark og indsæt dataen i celle B7</t>
    </r>
  </si>
  <si>
    <t>= Vælg fra drop-down liste</t>
  </si>
  <si>
    <t>Importér data fra RealTime-LCA</t>
  </si>
  <si>
    <t>Beregn tillæge for særlige forhold</t>
  </si>
  <si>
    <t>Trin 4</t>
  </si>
  <si>
    <r>
      <t xml:space="preserve">Gå til fanen </t>
    </r>
    <r>
      <rPr>
        <b/>
        <i/>
        <sz val="11"/>
        <color theme="1"/>
        <rFont val="Aptos Narrow"/>
        <family val="2"/>
        <scheme val="minor"/>
      </rPr>
      <t>Beregn tillæg</t>
    </r>
    <r>
      <rPr>
        <sz val="11"/>
        <color theme="1"/>
        <rFont val="Aptos Narrow"/>
        <family val="2"/>
        <scheme val="minor"/>
      </rPr>
      <t xml:space="preserve"> og find den bygningsdel, som der skal tildeles særlig tillæg for &gt; Vælg typen af særlige forhold fra drop-down listen i kolonne E.</t>
    </r>
  </si>
  <si>
    <t>Trin 5a - Søjler/bjælker</t>
  </si>
  <si>
    <r>
      <t xml:space="preserve">Såfremt der er valgt kategorien </t>
    </r>
    <r>
      <rPr>
        <b/>
        <i/>
        <sz val="11"/>
        <color theme="1"/>
        <rFont val="Aptos Narrow"/>
        <family val="2"/>
        <scheme val="minor"/>
      </rPr>
      <t>Søjler/bjælker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 xml:space="preserve">i kolonne E, skal søjlen eller bjælkens længde indtastes manuelt i kolonne G. </t>
    </r>
  </si>
  <si>
    <t>Længden kan findes i RealTime-LCA</t>
  </si>
  <si>
    <t>Trin 5b - Installationer</t>
  </si>
  <si>
    <r>
      <t xml:space="preserve">Såfremt der er valgt kategorien </t>
    </r>
    <r>
      <rPr>
        <b/>
        <i/>
        <sz val="11"/>
        <color theme="1"/>
        <rFont val="Aptos Narrow"/>
        <family val="2"/>
        <scheme val="minor"/>
      </rPr>
      <t>Installationer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 xml:space="preserve">i kolonne E, skal typen af installationer vælges i kolonne H. </t>
    </r>
  </si>
  <si>
    <t>Trin 5c - Øvrige forhold</t>
  </si>
  <si>
    <t>For alle øvrige typer særlige forhold, skal konstruktionsarealet indtastes i kolonne F.</t>
  </si>
  <si>
    <t>Trin 6</t>
  </si>
  <si>
    <t>Indtast den ukorrigerede CO2-grænseværdi for byggeriet i celle P7</t>
  </si>
  <si>
    <t>Herefter angives det samlede tillæg og den korrigerede CO2-grænseværdi i celle P20-P21.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</si>
</sst>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b/>
      <sz val="16"/>
      <color theme="4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AD8D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F3F1ED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</borders>
  <cellStyleXfs count="2">
    <xf numFmtId="0" fontId="0" fillId="0" borderId="0"/>
    <xf numFmtId="0" fontId="4" fillId="0" borderId="0"/>
  </cellStyleXfs>
  <cellXfs count="60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3" borderId="0" xfId="0" applyFont="1" applyFill="1" applyAlignment="1">
      <alignment horizontal="left" vertical="top" wrapText="1"/>
    </xf>
    <xf numFmtId="0" fontId="1" fillId="0" borderId="0" xfId="0" applyFont="1"/>
    <xf numFmtId="0" fontId="3" fillId="3" borderId="1" xfId="0" applyFont="1" applyFill="1" applyBorder="1" applyAlignment="1">
      <alignment horizontal="right" vertical="top" wrapText="1"/>
    </xf>
    <xf numFmtId="3" fontId="0" fillId="4" borderId="2" xfId="0" applyNumberFormat="1" applyFill="1" applyBorder="1"/>
    <xf numFmtId="0" fontId="0" fillId="0" borderId="0" xfId="1" applyFont="1"/>
    <xf numFmtId="0" fontId="6" fillId="0" borderId="0" xfId="0" applyFont="1"/>
    <xf numFmtId="0" fontId="8" fillId="0" borderId="0" xfId="0" applyFont="1" applyAlignment="1">
      <alignment horizontal="right"/>
    </xf>
    <xf numFmtId="0" fontId="0" fillId="0" borderId="0" xfId="0" quotePrefix="1"/>
    <xf numFmtId="164" fontId="1" fillId="0" borderId="0" xfId="0" applyNumberFormat="1" applyFont="1"/>
    <xf numFmtId="0" fontId="0" fillId="0" borderId="0" xfId="0" applyFont="1"/>
    <xf numFmtId="0" fontId="0" fillId="0" borderId="0" xfId="0" applyFont="1" applyAlignment="1">
      <alignment horizontal="left" indent="4"/>
    </xf>
    <xf numFmtId="3" fontId="1" fillId="0" borderId="2" xfId="0" applyNumberFormat="1" applyFont="1" applyFill="1" applyBorder="1"/>
    <xf numFmtId="0" fontId="10" fillId="5" borderId="3" xfId="0" applyFont="1" applyFill="1" applyBorder="1"/>
    <xf numFmtId="164" fontId="1" fillId="0" borderId="4" xfId="0" applyNumberFormat="1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3" fillId="0" borderId="0" xfId="0" applyFont="1"/>
    <xf numFmtId="0" fontId="0" fillId="6" borderId="2" xfId="1" applyFont="1" applyFill="1" applyBorder="1"/>
    <xf numFmtId="0" fontId="0" fillId="6" borderId="2" xfId="0" applyFont="1" applyFill="1" applyBorder="1"/>
    <xf numFmtId="2" fontId="2" fillId="0" borderId="0" xfId="0" applyNumberFormat="1" applyFont="1"/>
    <xf numFmtId="11" fontId="0" fillId="0" borderId="0" xfId="0" applyNumberFormat="1"/>
    <xf numFmtId="0" fontId="15" fillId="0" borderId="0" xfId="0" applyFont="1" applyAlignment="1">
      <alignment horizontal="right"/>
    </xf>
    <xf numFmtId="0" fontId="0" fillId="6" borderId="7" xfId="0" applyFont="1" applyFill="1" applyBorder="1"/>
    <xf numFmtId="0" fontId="1" fillId="7" borderId="6" xfId="1" applyFont="1" applyFill="1" applyBorder="1"/>
    <xf numFmtId="0" fontId="14" fillId="7" borderId="6" xfId="1" applyFont="1" applyFill="1" applyBorder="1"/>
    <xf numFmtId="11" fontId="1" fillId="7" borderId="6" xfId="1" applyNumberFormat="1" applyFont="1" applyFill="1" applyBorder="1"/>
    <xf numFmtId="11" fontId="0" fillId="0" borderId="0" xfId="1" applyNumberFormat="1" applyFont="1"/>
    <xf numFmtId="11" fontId="6" fillId="0" borderId="0" xfId="0" applyNumberFormat="1" applyFont="1"/>
    <xf numFmtId="0" fontId="17" fillId="0" borderId="0" xfId="0" applyFont="1"/>
    <xf numFmtId="0" fontId="18" fillId="0" borderId="0" xfId="0" applyFont="1"/>
    <xf numFmtId="0" fontId="19" fillId="9" borderId="0" xfId="0" applyFont="1" applyFill="1"/>
    <xf numFmtId="0" fontId="0" fillId="9" borderId="0" xfId="0" applyFill="1"/>
    <xf numFmtId="0" fontId="1" fillId="9" borderId="0" xfId="0" applyFont="1" applyFill="1"/>
    <xf numFmtId="165" fontId="0" fillId="4" borderId="2" xfId="0" applyNumberFormat="1" applyFill="1" applyBorder="1"/>
    <xf numFmtId="164" fontId="13" fillId="0" borderId="0" xfId="0" applyNumberFormat="1" applyFont="1"/>
    <xf numFmtId="164" fontId="1" fillId="7" borderId="6" xfId="1" applyNumberFormat="1" applyFont="1" applyFill="1" applyBorder="1"/>
    <xf numFmtId="164" fontId="0" fillId="0" borderId="0" xfId="0" applyNumberFormat="1"/>
    <xf numFmtId="3" fontId="0" fillId="6" borderId="2" xfId="0" applyNumberFormat="1" applyFill="1" applyBorder="1"/>
    <xf numFmtId="0" fontId="0" fillId="8" borderId="7" xfId="0" applyFont="1" applyFill="1" applyBorder="1"/>
    <xf numFmtId="0" fontId="0" fillId="8" borderId="2" xfId="0" applyFont="1" applyFill="1" applyBorder="1"/>
    <xf numFmtId="0" fontId="0" fillId="8" borderId="2" xfId="1" applyFont="1" applyFill="1" applyBorder="1"/>
    <xf numFmtId="0" fontId="1" fillId="9" borderId="6" xfId="1" applyFont="1" applyFill="1" applyBorder="1"/>
    <xf numFmtId="11" fontId="1" fillId="9" borderId="6" xfId="1" applyNumberFormat="1" applyFont="1" applyFill="1" applyBorder="1"/>
    <xf numFmtId="0" fontId="1" fillId="9" borderId="6" xfId="0" applyFont="1" applyFill="1" applyBorder="1"/>
    <xf numFmtId="0" fontId="14" fillId="9" borderId="6" xfId="0" applyFont="1" applyFill="1" applyBorder="1"/>
    <xf numFmtId="164" fontId="1" fillId="9" borderId="6" xfId="0" applyNumberFormat="1" applyFont="1" applyFill="1" applyBorder="1"/>
    <xf numFmtId="3" fontId="0" fillId="8" borderId="2" xfId="0" applyNumberFormat="1" applyFill="1" applyBorder="1"/>
    <xf numFmtId="0" fontId="16" fillId="9" borderId="0" xfId="0" applyFont="1" applyFill="1"/>
    <xf numFmtId="0" fontId="0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0" borderId="0" xfId="0" applyFont="1" applyAlignment="1">
      <alignment vertical="top"/>
    </xf>
    <xf numFmtId="0" fontId="0" fillId="0" borderId="0" xfId="1" applyFont="1" applyAlignment="1">
      <alignment vertical="top"/>
    </xf>
    <xf numFmtId="0" fontId="4" fillId="0" borderId="0" xfId="1"/>
    <xf numFmtId="0" fontId="4" fillId="0" borderId="0" xfId="1"/>
  </cellXfs>
  <cellStyles count="2">
    <cellStyle name="Normal" xfId="0" builtinId="0"/>
    <cellStyle name="Normal 2" xfId="1" xr:uid="{19A2149B-136C-4C4A-9C43-1F772A0697E3}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jpeg"/><Relationship Id="rId1" Type="http://schemas.openxmlformats.org/officeDocument/2006/relationships/image" Target="../media/image11.jpeg"/><Relationship Id="rId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161926</xdr:colOff>
      <xdr:row>7</xdr:row>
      <xdr:rowOff>0</xdr:rowOff>
    </xdr:from>
    <xdr:to>
      <xdr:col>1</xdr:col>
      <xdr:colOff>9386332</xdr:colOff>
      <xdr:row>15</xdr:row>
      <xdr:rowOff>85725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9A61A625-A8CC-E9BD-6053-9CC931147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6" y="1162050"/>
          <a:ext cx="9414906" cy="16097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5161905</xdr:colOff>
      <xdr:row>21</xdr:row>
      <xdr:rowOff>57095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E5294018-7408-E654-0506-6A1F73034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3638550"/>
          <a:ext cx="5161905" cy="4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3971429</xdr:colOff>
      <xdr:row>35</xdr:row>
      <xdr:rowOff>75905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8AEE6CCA-FE92-140B-63AF-F8007E98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500" y="4781550"/>
          <a:ext cx="3971429" cy="2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4057143</xdr:colOff>
      <xdr:row>51</xdr:row>
      <xdr:rowOff>75905</xdr:rowOff>
    </xdr:to>
    <xdr:pic>
      <xdr:nvPicPr>
        <xdr:cNvPr id="5" name="Billede 4">
          <a:extLst>
            <a:ext uri="{FF2B5EF4-FFF2-40B4-BE49-F238E27FC236}">
              <a16:creationId xmlns:a16="http://schemas.microsoft.com/office/drawing/2014/main" id="{A945C095-5230-EB6F-0972-60FEFE36A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" y="7448550"/>
          <a:ext cx="4057143" cy="2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43899</xdr:rowOff>
    </xdr:from>
    <xdr:to>
      <xdr:col>1</xdr:col>
      <xdr:colOff>9266667</xdr:colOff>
      <xdr:row>76</xdr:row>
      <xdr:rowOff>31839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B515DFB-1A1F-F390-808E-2EF943EC7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0500" y="11645349"/>
          <a:ext cx="9266667" cy="3607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53750</xdr:rowOff>
    </xdr:from>
    <xdr:to>
      <xdr:col>1</xdr:col>
      <xdr:colOff>10607970</xdr:colOff>
      <xdr:row>86</xdr:row>
      <xdr:rowOff>76199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F509BC71-C76B-E0B8-84A5-2B25E12E5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0500" y="15655700"/>
          <a:ext cx="10607970" cy="116544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89</xdr:row>
      <xdr:rowOff>1</xdr:rowOff>
    </xdr:from>
    <xdr:to>
      <xdr:col>1</xdr:col>
      <xdr:colOff>3476625</xdr:colOff>
      <xdr:row>96</xdr:row>
      <xdr:rowOff>116779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91B176A7-6372-64FD-8CD3-93EB7ACAF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0500" y="16935451"/>
          <a:ext cx="3476625" cy="14502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101</xdr:row>
      <xdr:rowOff>0</xdr:rowOff>
    </xdr:from>
    <xdr:to>
      <xdr:col>1</xdr:col>
      <xdr:colOff>9982201</xdr:colOff>
      <xdr:row>111</xdr:row>
      <xdr:rowOff>37845</xdr:rowOff>
    </xdr:to>
    <xdr:pic>
      <xdr:nvPicPr>
        <xdr:cNvPr id="12" name="Billede 11">
          <a:extLst>
            <a:ext uri="{FF2B5EF4-FFF2-40B4-BE49-F238E27FC236}">
              <a16:creationId xmlns:a16="http://schemas.microsoft.com/office/drawing/2014/main" id="{6871EAF7-0FB6-4E3C-1DF7-92CCD7919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0501" y="19602450"/>
          <a:ext cx="9982200" cy="1942845"/>
        </a:xfrm>
        <a:prstGeom prst="rect">
          <a:avLst/>
        </a:prstGeom>
      </xdr:spPr>
    </xdr:pic>
    <xdr:clientData/>
  </xdr:twoCellAnchor>
  <xdr:twoCellAnchor>
    <xdr:from>
      <xdr:col>1</xdr:col>
      <xdr:colOff>4981575</xdr:colOff>
      <xdr:row>104</xdr:row>
      <xdr:rowOff>57150</xdr:rowOff>
    </xdr:from>
    <xdr:to>
      <xdr:col>1</xdr:col>
      <xdr:colOff>6048375</xdr:colOff>
      <xdr:row>105</xdr:row>
      <xdr:rowOff>0</xdr:rowOff>
    </xdr:to>
    <xdr:sp macro="" textlink="">
      <xdr:nvSpPr>
        <xdr:cNvPr id="13" name="Rektangel 12">
          <a:extLst>
            <a:ext uri="{FF2B5EF4-FFF2-40B4-BE49-F238E27FC236}">
              <a16:creationId xmlns:a16="http://schemas.microsoft.com/office/drawing/2014/main" id="{181D19B4-C5D9-DA6E-8F3F-2A05B959A211}"/>
            </a:ext>
          </a:extLst>
        </xdr:cNvPr>
        <xdr:cNvSpPr/>
      </xdr:nvSpPr>
      <xdr:spPr>
        <a:xfrm>
          <a:off x="5172075" y="20231100"/>
          <a:ext cx="1066800" cy="1333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9934575</xdr:colOff>
      <xdr:row>125</xdr:row>
      <xdr:rowOff>42258</xdr:rowOff>
    </xdr:to>
    <xdr:pic>
      <xdr:nvPicPr>
        <xdr:cNvPr id="14" name="Billede 13">
          <a:extLst>
            <a:ext uri="{FF2B5EF4-FFF2-40B4-BE49-F238E27FC236}">
              <a16:creationId xmlns:a16="http://schemas.microsoft.com/office/drawing/2014/main" id="{E8D10B4E-D557-C5BD-13A8-02ACB4A12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0500" y="22459950"/>
          <a:ext cx="9934575" cy="17567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4961905</xdr:colOff>
      <xdr:row>154</xdr:row>
      <xdr:rowOff>66071</xdr:rowOff>
    </xdr:to>
    <xdr:pic>
      <xdr:nvPicPr>
        <xdr:cNvPr id="15" name="Billede 14">
          <a:extLst>
            <a:ext uri="{FF2B5EF4-FFF2-40B4-BE49-F238E27FC236}">
              <a16:creationId xmlns:a16="http://schemas.microsoft.com/office/drawing/2014/main" id="{B1802B8A-322B-5915-79D6-59C67FB1E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0500" y="25126950"/>
          <a:ext cx="4961905" cy="48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2</xdr:row>
      <xdr:rowOff>95251</xdr:rowOff>
    </xdr:from>
    <xdr:to>
      <xdr:col>3</xdr:col>
      <xdr:colOff>590550</xdr:colOff>
      <xdr:row>5</xdr:row>
      <xdr:rowOff>114301</xdr:rowOff>
    </xdr:to>
    <xdr:sp macro="" textlink="">
      <xdr:nvSpPr>
        <xdr:cNvPr id="2" name="Billedforklaring: bøjet streg 1">
          <a:extLst>
            <a:ext uri="{FF2B5EF4-FFF2-40B4-BE49-F238E27FC236}">
              <a16:creationId xmlns:a16="http://schemas.microsoft.com/office/drawing/2014/main" id="{C6F0C757-B076-3693-AC65-08AC1CD8D029}"/>
            </a:ext>
          </a:extLst>
        </xdr:cNvPr>
        <xdr:cNvSpPr/>
      </xdr:nvSpPr>
      <xdr:spPr>
        <a:xfrm>
          <a:off x="790575" y="590551"/>
          <a:ext cx="1895475" cy="590550"/>
        </a:xfrm>
        <a:prstGeom prst="borderCallout2">
          <a:avLst>
            <a:gd name="adj1" fmla="val 53296"/>
            <a:gd name="adj2" fmla="val 633"/>
            <a:gd name="adj3" fmla="val 53296"/>
            <a:gd name="adj4" fmla="val -7701"/>
            <a:gd name="adj5" fmla="val 119773"/>
            <a:gd name="adj6" fmla="val -25288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400"/>
            <a:t>Importér data fra </a:t>
          </a:r>
          <a:r>
            <a:rPr lang="da-DK" sz="1400" i="1"/>
            <a:t>Project Data</a:t>
          </a:r>
          <a:r>
            <a:rPr lang="da-DK" sz="1400" i="0"/>
            <a:t> i celle B7</a:t>
          </a:r>
          <a:endParaRPr lang="da-DK" sz="1400"/>
        </a:p>
      </xdr:txBody>
    </xdr:sp>
    <xdr:clientData/>
  </xdr:twoCellAnchor>
  <xdr:twoCellAnchor>
    <xdr:from>
      <xdr:col>1</xdr:col>
      <xdr:colOff>581025</xdr:colOff>
      <xdr:row>9</xdr:row>
      <xdr:rowOff>114300</xdr:rowOff>
    </xdr:from>
    <xdr:to>
      <xdr:col>3</xdr:col>
      <xdr:colOff>609600</xdr:colOff>
      <xdr:row>12</xdr:row>
      <xdr:rowOff>123825</xdr:rowOff>
    </xdr:to>
    <xdr:sp macro="" textlink="">
      <xdr:nvSpPr>
        <xdr:cNvPr id="4" name="Billedforklaring: bøjet streg 3">
          <a:extLst>
            <a:ext uri="{FF2B5EF4-FFF2-40B4-BE49-F238E27FC236}">
              <a16:creationId xmlns:a16="http://schemas.microsoft.com/office/drawing/2014/main" id="{C16B987A-144B-8F45-D25A-C954B47D64E6}"/>
            </a:ext>
          </a:extLst>
        </xdr:cNvPr>
        <xdr:cNvSpPr/>
      </xdr:nvSpPr>
      <xdr:spPr>
        <a:xfrm>
          <a:off x="771525" y="1752600"/>
          <a:ext cx="1933575" cy="581025"/>
        </a:xfrm>
        <a:prstGeom prst="borderCallout2">
          <a:avLst>
            <a:gd name="adj1" fmla="val 53296"/>
            <a:gd name="adj2" fmla="val 633"/>
            <a:gd name="adj3" fmla="val 53296"/>
            <a:gd name="adj4" fmla="val -7701"/>
            <a:gd name="adj5" fmla="val 119773"/>
            <a:gd name="adj6" fmla="val -25288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400"/>
            <a:t>Importér data fra </a:t>
          </a:r>
          <a:r>
            <a:rPr lang="da-DK" sz="1400" i="1"/>
            <a:t>Project Breakdown</a:t>
          </a:r>
          <a:r>
            <a:rPr lang="da-DK" sz="1400" i="0"/>
            <a:t> i celle B14</a:t>
          </a:r>
          <a:endParaRPr lang="da-DK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0</xdr:colOff>
      <xdr:row>65</xdr:row>
      <xdr:rowOff>0</xdr:rowOff>
    </xdr:from>
    <xdr:ext cx="1943100" cy="952500"/>
    <xdr:pic>
      <xdr:nvPicPr>
        <xdr:cNvPr id="2" name="Billede 1">
          <a:extLst>
            <a:ext uri="{FF2B5EF4-FFF2-40B4-BE49-F238E27FC236}">
              <a16:creationId xmlns:a16="http://schemas.microsoft.com/office/drawing/2014/main" id="{A05916DB-114A-4C64-8E58-E88EAAEED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4287500"/>
          <a:ext cx="19431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71</xdr:row>
      <xdr:rowOff>0</xdr:rowOff>
    </xdr:from>
    <xdr:ext cx="1019175" cy="714375"/>
    <xdr:pic>
      <xdr:nvPicPr>
        <xdr:cNvPr id="3" name="Billede 2">
          <a:extLst>
            <a:ext uri="{FF2B5EF4-FFF2-40B4-BE49-F238E27FC236}">
              <a16:creationId xmlns:a16="http://schemas.microsoft.com/office/drawing/2014/main" id="{BB8FF5B9-7E63-4339-BAE3-638F2274B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5430500"/>
          <a:ext cx="10191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76</xdr:row>
      <xdr:rowOff>0</xdr:rowOff>
    </xdr:from>
    <xdr:ext cx="1695450" cy="1047750"/>
    <xdr:pic>
      <xdr:nvPicPr>
        <xdr:cNvPr id="4" name="Billede 3">
          <a:extLst>
            <a:ext uri="{FF2B5EF4-FFF2-40B4-BE49-F238E27FC236}">
              <a16:creationId xmlns:a16="http://schemas.microsoft.com/office/drawing/2014/main" id="{894605A5-8220-4650-85E9-6588BA6E6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6383000"/>
          <a:ext cx="16954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83</xdr:row>
      <xdr:rowOff>0</xdr:rowOff>
    </xdr:from>
    <xdr:ext cx="1838325" cy="942975"/>
    <xdr:pic>
      <xdr:nvPicPr>
        <xdr:cNvPr id="5" name="Billede 4">
          <a:extLst>
            <a:ext uri="{FF2B5EF4-FFF2-40B4-BE49-F238E27FC236}">
              <a16:creationId xmlns:a16="http://schemas.microsoft.com/office/drawing/2014/main" id="{9A717A90-7455-4A39-96CA-5B4E89F78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7716500"/>
          <a:ext cx="1838325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65</xdr:row>
      <xdr:rowOff>0</xdr:rowOff>
    </xdr:from>
    <xdr:ext cx="1943100" cy="952500"/>
    <xdr:pic>
      <xdr:nvPicPr>
        <xdr:cNvPr id="6" name="Billede 5">
          <a:extLst>
            <a:ext uri="{FF2B5EF4-FFF2-40B4-BE49-F238E27FC236}">
              <a16:creationId xmlns:a16="http://schemas.microsoft.com/office/drawing/2014/main" id="{B671D74B-090A-4A5F-B1B6-C403EF1C4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4287500"/>
          <a:ext cx="19431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71</xdr:row>
      <xdr:rowOff>0</xdr:rowOff>
    </xdr:from>
    <xdr:ext cx="1019175" cy="714375"/>
    <xdr:pic>
      <xdr:nvPicPr>
        <xdr:cNvPr id="7" name="Billede 6">
          <a:extLst>
            <a:ext uri="{FF2B5EF4-FFF2-40B4-BE49-F238E27FC236}">
              <a16:creationId xmlns:a16="http://schemas.microsoft.com/office/drawing/2014/main" id="{86BF61EB-A61F-4194-B620-4E9F7CF3E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5430500"/>
          <a:ext cx="10191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76</xdr:row>
      <xdr:rowOff>0</xdr:rowOff>
    </xdr:from>
    <xdr:ext cx="1695450" cy="1047750"/>
    <xdr:pic>
      <xdr:nvPicPr>
        <xdr:cNvPr id="8" name="Billede 7">
          <a:extLst>
            <a:ext uri="{FF2B5EF4-FFF2-40B4-BE49-F238E27FC236}">
              <a16:creationId xmlns:a16="http://schemas.microsoft.com/office/drawing/2014/main" id="{48E2167D-7716-480C-8C81-63A6D0C45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6383000"/>
          <a:ext cx="16954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83</xdr:row>
      <xdr:rowOff>0</xdr:rowOff>
    </xdr:from>
    <xdr:ext cx="1838325" cy="942975"/>
    <xdr:pic>
      <xdr:nvPicPr>
        <xdr:cNvPr id="9" name="Billede 8">
          <a:extLst>
            <a:ext uri="{FF2B5EF4-FFF2-40B4-BE49-F238E27FC236}">
              <a16:creationId xmlns:a16="http://schemas.microsoft.com/office/drawing/2014/main" id="{1D76BE57-68D4-4D9B-B34E-6C505FDFB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0" y="17716500"/>
          <a:ext cx="1838325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BA3A1-362A-4997-9A24-B895DB1B6692}">
  <dimension ref="B2:B156"/>
  <sheetViews>
    <sheetView tabSelected="1" workbookViewId="0">
      <selection activeCell="B30" sqref="B30"/>
    </sheetView>
  </sheetViews>
  <sheetFormatPr defaultRowHeight="15" x14ac:dyDescent="0.25"/>
  <cols>
    <col min="1" max="1" width="2.85546875" style="37" customWidth="1"/>
    <col min="2" max="2" width="174.140625" style="37" customWidth="1"/>
    <col min="3" max="16384" width="9.140625" style="37"/>
  </cols>
  <sheetData>
    <row r="2" spans="2:2" ht="31.5" x14ac:dyDescent="0.5">
      <c r="B2" s="36" t="s">
        <v>82</v>
      </c>
    </row>
    <row r="4" spans="2:2" ht="21" x14ac:dyDescent="0.35">
      <c r="B4" s="53" t="s">
        <v>107</v>
      </c>
    </row>
    <row r="5" spans="2:2" x14ac:dyDescent="0.25">
      <c r="B5" s="38" t="s">
        <v>83</v>
      </c>
    </row>
    <row r="6" spans="2:2" x14ac:dyDescent="0.25">
      <c r="B6" s="37" t="s">
        <v>102</v>
      </c>
    </row>
    <row r="17" spans="2:2" x14ac:dyDescent="0.25">
      <c r="B17" s="38" t="s">
        <v>84</v>
      </c>
    </row>
    <row r="18" spans="2:2" x14ac:dyDescent="0.25">
      <c r="B18" s="37" t="s">
        <v>103</v>
      </c>
    </row>
    <row r="38" spans="2:2" x14ac:dyDescent="0.25">
      <c r="B38" s="38" t="s">
        <v>104</v>
      </c>
    </row>
    <row r="39" spans="2:2" x14ac:dyDescent="0.25">
      <c r="B39" s="37" t="s">
        <v>105</v>
      </c>
    </row>
    <row r="54" spans="2:2" ht="21" x14ac:dyDescent="0.35">
      <c r="B54" s="53" t="s">
        <v>108</v>
      </c>
    </row>
    <row r="55" spans="2:2" x14ac:dyDescent="0.25">
      <c r="B55" s="38" t="s">
        <v>109</v>
      </c>
    </row>
    <row r="56" spans="2:2" x14ac:dyDescent="0.25">
      <c r="B56" s="37" t="s">
        <v>110</v>
      </c>
    </row>
    <row r="78" spans="2:2" x14ac:dyDescent="0.25">
      <c r="B78" s="38" t="s">
        <v>111</v>
      </c>
    </row>
    <row r="79" spans="2:2" x14ac:dyDescent="0.25">
      <c r="B79" s="37" t="s">
        <v>112</v>
      </c>
    </row>
    <row r="88" spans="2:2" x14ac:dyDescent="0.25">
      <c r="B88" s="37" t="s">
        <v>113</v>
      </c>
    </row>
    <row r="99" spans="2:2" x14ac:dyDescent="0.25">
      <c r="B99" s="38" t="s">
        <v>114</v>
      </c>
    </row>
    <row r="100" spans="2:2" x14ac:dyDescent="0.25">
      <c r="B100" s="37" t="s">
        <v>115</v>
      </c>
    </row>
    <row r="114" spans="2:2" x14ac:dyDescent="0.25">
      <c r="B114" s="38" t="s">
        <v>116</v>
      </c>
    </row>
    <row r="115" spans="2:2" x14ac:dyDescent="0.25">
      <c r="B115" s="37" t="s">
        <v>117</v>
      </c>
    </row>
    <row r="127" spans="2:2" x14ac:dyDescent="0.25">
      <c r="B127" s="38" t="s">
        <v>118</v>
      </c>
    </row>
    <row r="128" spans="2:2" x14ac:dyDescent="0.25">
      <c r="B128" s="37" t="s">
        <v>119</v>
      </c>
    </row>
    <row r="156" spans="2:2" x14ac:dyDescent="0.25">
      <c r="B156" s="37" t="s">
        <v>120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AD4E6-C206-4E1C-9686-0C6396B738B5}">
  <dimension ref="B2:T421"/>
  <sheetViews>
    <sheetView workbookViewId="0">
      <selection activeCell="B8" sqref="B8:R8"/>
    </sheetView>
  </sheetViews>
  <sheetFormatPr defaultRowHeight="15" x14ac:dyDescent="0.25"/>
  <cols>
    <col min="1" max="1" width="2.85546875" style="55" customWidth="1"/>
    <col min="2" max="4" width="14.28515625" style="54" customWidth="1"/>
    <col min="5" max="5" width="10.28515625" style="54" customWidth="1"/>
    <col min="6" max="6" width="62.5703125" style="54" bestFit="1" customWidth="1"/>
    <col min="7" max="7" width="11.85546875" style="54" customWidth="1"/>
    <col min="8" max="8" width="12" style="54" customWidth="1"/>
    <col min="9" max="9" width="10.7109375" style="54" customWidth="1"/>
    <col min="10" max="10" width="12.85546875" style="54" customWidth="1"/>
    <col min="11" max="18" width="14.28515625" style="54" customWidth="1"/>
    <col min="19" max="20" width="9.140625" style="54"/>
    <col min="21" max="16384" width="9.140625" style="55"/>
  </cols>
  <sheetData>
    <row r="2" spans="2:18" ht="24" x14ac:dyDescent="0.25">
      <c r="B2" s="56" t="s">
        <v>75</v>
      </c>
    </row>
    <row r="7" spans="2:18" ht="15.75" x14ac:dyDescent="0.25">
      <c r="B7" s="58" t="s">
        <v>85</v>
      </c>
      <c r="C7" s="58" t="s">
        <v>86</v>
      </c>
      <c r="D7" s="58" t="s">
        <v>87</v>
      </c>
      <c r="E7" s="58" t="s">
        <v>88</v>
      </c>
      <c r="F7" s="58" t="s">
        <v>89</v>
      </c>
      <c r="G7" s="58" t="s">
        <v>90</v>
      </c>
      <c r="H7" s="58" t="s">
        <v>91</v>
      </c>
      <c r="I7" s="58" t="s">
        <v>92</v>
      </c>
      <c r="J7" s="58" t="s">
        <v>93</v>
      </c>
      <c r="K7" s="58" t="s">
        <v>94</v>
      </c>
      <c r="L7" s="58" t="s">
        <v>95</v>
      </c>
      <c r="M7" s="58" t="s">
        <v>96</v>
      </c>
      <c r="N7" s="58" t="s">
        <v>97</v>
      </c>
      <c r="O7" s="58" t="s">
        <v>98</v>
      </c>
      <c r="P7" s="58" t="s">
        <v>99</v>
      </c>
      <c r="Q7" s="58" t="s">
        <v>100</v>
      </c>
      <c r="R7" s="58" t="s">
        <v>101</v>
      </c>
    </row>
    <row r="8" spans="2:18" ht="15.75" x14ac:dyDescent="0.25"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</row>
    <row r="14" spans="2:18" ht="15.75" x14ac:dyDescent="0.25">
      <c r="B14" s="59" t="s">
        <v>22</v>
      </c>
      <c r="C14" s="59" t="s">
        <v>23</v>
      </c>
      <c r="D14" s="59" t="s">
        <v>24</v>
      </c>
      <c r="E14" s="59" t="s">
        <v>25</v>
      </c>
      <c r="F14" s="59" t="s">
        <v>26</v>
      </c>
      <c r="G14" s="59" t="s">
        <v>27</v>
      </c>
      <c r="H14" s="59" t="s">
        <v>28</v>
      </c>
      <c r="I14" s="59" t="s">
        <v>29</v>
      </c>
      <c r="J14" s="59" t="s">
        <v>30</v>
      </c>
      <c r="K14" s="59" t="s">
        <v>31</v>
      </c>
      <c r="L14" s="59" t="s">
        <v>32</v>
      </c>
      <c r="M14" s="59" t="s">
        <v>33</v>
      </c>
      <c r="N14" s="59" t="s">
        <v>34</v>
      </c>
    </row>
    <row r="15" spans="2:18" ht="15.75" x14ac:dyDescent="0.25"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</row>
    <row r="16" spans="2:18" ht="15.75" x14ac:dyDescent="0.25"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</row>
    <row r="17" spans="2:14" ht="15.75" x14ac:dyDescent="0.25"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</row>
    <row r="18" spans="2:14" ht="15.75" x14ac:dyDescent="0.25"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</row>
    <row r="19" spans="2:14" ht="15.75" x14ac:dyDescent="0.25"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</row>
    <row r="20" spans="2:14" ht="15.75" x14ac:dyDescent="0.25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</row>
    <row r="21" spans="2:14" ht="15.75" x14ac:dyDescent="0.25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</row>
    <row r="22" spans="2:14" ht="15.75" x14ac:dyDescent="0.25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</row>
    <row r="23" spans="2:14" ht="15.75" x14ac:dyDescent="0.25"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</row>
    <row r="24" spans="2:14" ht="15.75" x14ac:dyDescent="0.25"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</row>
    <row r="25" spans="2:14" ht="15.75" x14ac:dyDescent="0.25"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</row>
    <row r="26" spans="2:14" ht="15.75" x14ac:dyDescent="0.25"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</row>
    <row r="27" spans="2:14" ht="15.75" x14ac:dyDescent="0.25"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</row>
    <row r="28" spans="2:14" ht="15.75" x14ac:dyDescent="0.25"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</row>
    <row r="29" spans="2:14" ht="15.75" x14ac:dyDescent="0.25"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</row>
    <row r="30" spans="2:14" ht="15.75" x14ac:dyDescent="0.25"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</row>
    <row r="31" spans="2:14" ht="15.75" x14ac:dyDescent="0.25"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</row>
    <row r="32" spans="2:14" ht="15.75" x14ac:dyDescent="0.25"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</row>
    <row r="33" spans="2:14" ht="15.75" x14ac:dyDescent="0.25"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</row>
    <row r="34" spans="2:14" ht="15.75" x14ac:dyDescent="0.25"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</row>
    <row r="35" spans="2:14" ht="15.75" x14ac:dyDescent="0.25"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</row>
    <row r="36" spans="2:14" ht="15.75" x14ac:dyDescent="0.25"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</row>
    <row r="37" spans="2:14" ht="15.75" x14ac:dyDescent="0.25"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</row>
    <row r="38" spans="2:14" ht="15.75" x14ac:dyDescent="0.25"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</row>
    <row r="39" spans="2:14" ht="15.75" x14ac:dyDescent="0.25"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</row>
    <row r="40" spans="2:14" ht="15.75" x14ac:dyDescent="0.25"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</row>
    <row r="41" spans="2:14" ht="15.75" x14ac:dyDescent="0.25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</row>
    <row r="42" spans="2:14" ht="15.75" x14ac:dyDescent="0.25"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</row>
    <row r="43" spans="2:14" ht="15.75" x14ac:dyDescent="0.25"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</row>
    <row r="44" spans="2:14" ht="15.75" x14ac:dyDescent="0.25"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</row>
    <row r="45" spans="2:14" ht="15.75" x14ac:dyDescent="0.25"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</row>
    <row r="46" spans="2:14" ht="15.75" x14ac:dyDescent="0.25"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</row>
    <row r="47" spans="2:14" ht="15.75" x14ac:dyDescent="0.25"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</row>
    <row r="48" spans="2:14" ht="15.75" x14ac:dyDescent="0.25"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</row>
    <row r="49" spans="2:14" ht="15.75" x14ac:dyDescent="0.25"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.75" x14ac:dyDescent="0.25"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</row>
    <row r="51" spans="2:14" ht="15.75" x14ac:dyDescent="0.25"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</row>
    <row r="52" spans="2:14" ht="15.75" x14ac:dyDescent="0.25"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</row>
    <row r="53" spans="2:14" ht="15.75" x14ac:dyDescent="0.25"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</row>
    <row r="54" spans="2:14" ht="15.75" x14ac:dyDescent="0.25"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</row>
    <row r="55" spans="2:14" ht="15.75" x14ac:dyDescent="0.25"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</row>
    <row r="56" spans="2:14" ht="15.75" x14ac:dyDescent="0.25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</row>
    <row r="57" spans="2:14" ht="15.75" x14ac:dyDescent="0.25"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</row>
    <row r="58" spans="2:14" ht="15.75" x14ac:dyDescent="0.25"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</row>
    <row r="59" spans="2:14" ht="15.75" x14ac:dyDescent="0.25"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</row>
    <row r="60" spans="2:14" ht="15.75" x14ac:dyDescent="0.25"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</row>
    <row r="61" spans="2:14" ht="15.75" x14ac:dyDescent="0.25"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</row>
    <row r="62" spans="2:14" ht="15.75" x14ac:dyDescent="0.25"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</row>
    <row r="63" spans="2:14" ht="15.75" x14ac:dyDescent="0.25"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</row>
    <row r="64" spans="2:14" ht="15.75" x14ac:dyDescent="0.25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</row>
    <row r="65" spans="2:14" ht="15.75" x14ac:dyDescent="0.25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</row>
    <row r="66" spans="2:14" ht="15.75" x14ac:dyDescent="0.25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</row>
    <row r="67" spans="2:14" ht="15.75" x14ac:dyDescent="0.25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</row>
    <row r="68" spans="2:14" ht="15.75" x14ac:dyDescent="0.25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</row>
    <row r="69" spans="2:14" ht="15.75" x14ac:dyDescent="0.25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</row>
    <row r="70" spans="2:14" ht="15.75" x14ac:dyDescent="0.25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</row>
    <row r="71" spans="2:14" ht="15.75" x14ac:dyDescent="0.25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</row>
    <row r="72" spans="2:14" ht="15.75" x14ac:dyDescent="0.25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</row>
    <row r="73" spans="2:14" ht="15.75" x14ac:dyDescent="0.25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</row>
    <row r="74" spans="2:14" ht="15.75" x14ac:dyDescent="0.25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</row>
    <row r="75" spans="2:14" ht="15.75" x14ac:dyDescent="0.25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</row>
    <row r="76" spans="2:14" ht="15.75" x14ac:dyDescent="0.25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</row>
    <row r="77" spans="2:14" ht="15.75" x14ac:dyDescent="0.25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</row>
    <row r="78" spans="2:14" ht="15.75" x14ac:dyDescent="0.25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</row>
    <row r="79" spans="2:14" ht="15.75" x14ac:dyDescent="0.25"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</row>
    <row r="80" spans="2:14" ht="15.75" x14ac:dyDescent="0.25"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</row>
    <row r="81" spans="2:14" ht="15.75" x14ac:dyDescent="0.25"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</row>
    <row r="82" spans="2:14" ht="15.75" x14ac:dyDescent="0.25"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</row>
    <row r="83" spans="2:14" ht="15.75" x14ac:dyDescent="0.25"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</row>
    <row r="84" spans="2:14" ht="15.75" x14ac:dyDescent="0.25"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</row>
    <row r="85" spans="2:14" ht="15.75" x14ac:dyDescent="0.25"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</row>
    <row r="86" spans="2:14" ht="15.75" x14ac:dyDescent="0.25"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</row>
    <row r="87" spans="2:14" ht="15.75" x14ac:dyDescent="0.25"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</row>
    <row r="88" spans="2:14" ht="15.75" x14ac:dyDescent="0.25"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</row>
    <row r="89" spans="2:14" ht="15.75" x14ac:dyDescent="0.25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</row>
    <row r="90" spans="2:14" ht="15.75" x14ac:dyDescent="0.25"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</row>
    <row r="91" spans="2:14" ht="15.75" x14ac:dyDescent="0.25"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</row>
    <row r="92" spans="2:14" ht="15.75" x14ac:dyDescent="0.25"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</row>
    <row r="93" spans="2:14" ht="15.75" x14ac:dyDescent="0.25"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</row>
    <row r="94" spans="2:14" ht="15.75" x14ac:dyDescent="0.25"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</row>
    <row r="95" spans="2:14" ht="15.75" x14ac:dyDescent="0.25"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</row>
    <row r="96" spans="2:14" ht="15.75" x14ac:dyDescent="0.25"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</row>
    <row r="97" spans="2:14" ht="15.75" x14ac:dyDescent="0.25"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</row>
    <row r="98" spans="2:14" ht="15.75" x14ac:dyDescent="0.25"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</row>
    <row r="99" spans="2:14" ht="15.75" x14ac:dyDescent="0.25"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</row>
    <row r="100" spans="2:14" ht="15.75" x14ac:dyDescent="0.25"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</row>
    <row r="101" spans="2:14" ht="15.75" x14ac:dyDescent="0.25"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</row>
    <row r="102" spans="2:14" ht="15.75" x14ac:dyDescent="0.25"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</row>
    <row r="103" spans="2:14" ht="15.75" x14ac:dyDescent="0.25"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</row>
    <row r="104" spans="2:14" ht="15.75" x14ac:dyDescent="0.25"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</row>
    <row r="105" spans="2:14" ht="15.75" x14ac:dyDescent="0.25"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</row>
    <row r="106" spans="2:14" ht="15.75" x14ac:dyDescent="0.25"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</row>
    <row r="107" spans="2:14" ht="15.75" x14ac:dyDescent="0.25"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</row>
    <row r="108" spans="2:14" ht="15.75" x14ac:dyDescent="0.25"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</row>
    <row r="109" spans="2:14" ht="15.75" x14ac:dyDescent="0.25"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</row>
    <row r="110" spans="2:14" ht="15.75" x14ac:dyDescent="0.25"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</row>
    <row r="111" spans="2:14" ht="15.75" x14ac:dyDescent="0.25"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</row>
    <row r="112" spans="2:14" ht="15.75" x14ac:dyDescent="0.25"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</row>
    <row r="113" spans="2:14" ht="15.75" x14ac:dyDescent="0.25"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</row>
    <row r="114" spans="2:14" ht="15.75" x14ac:dyDescent="0.25"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</row>
    <row r="115" spans="2:14" ht="15.75" x14ac:dyDescent="0.25"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</row>
    <row r="116" spans="2:14" ht="15.75" x14ac:dyDescent="0.25"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</row>
    <row r="117" spans="2:14" ht="15.75" x14ac:dyDescent="0.25"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</row>
    <row r="118" spans="2:14" ht="15.75" x14ac:dyDescent="0.25"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</row>
    <row r="119" spans="2:14" ht="15.75" x14ac:dyDescent="0.25"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</row>
    <row r="120" spans="2:14" ht="15.75" x14ac:dyDescent="0.25"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</row>
    <row r="121" spans="2:14" ht="15.75" x14ac:dyDescent="0.25"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</row>
    <row r="122" spans="2:14" ht="15.75" x14ac:dyDescent="0.25"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</row>
    <row r="123" spans="2:14" ht="15.75" x14ac:dyDescent="0.25"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</row>
    <row r="124" spans="2:14" ht="15.75" x14ac:dyDescent="0.25"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</row>
    <row r="125" spans="2:14" ht="15.75" x14ac:dyDescent="0.25"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</row>
    <row r="126" spans="2:14" ht="15.75" x14ac:dyDescent="0.25"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</row>
    <row r="127" spans="2:14" ht="15.75" x14ac:dyDescent="0.25"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</row>
    <row r="128" spans="2:14" ht="15.75" x14ac:dyDescent="0.25"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</row>
    <row r="129" spans="2:14" ht="15.75" x14ac:dyDescent="0.25"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</row>
    <row r="130" spans="2:14" ht="15.75" x14ac:dyDescent="0.25"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</row>
    <row r="131" spans="2:14" ht="15.75" x14ac:dyDescent="0.25"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</row>
    <row r="132" spans="2:14" ht="15.75" x14ac:dyDescent="0.25"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</row>
    <row r="133" spans="2:14" ht="15.75" x14ac:dyDescent="0.25"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</row>
    <row r="134" spans="2:14" ht="15.75" x14ac:dyDescent="0.25"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</row>
    <row r="135" spans="2:14" ht="15.75" x14ac:dyDescent="0.25"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</row>
    <row r="136" spans="2:14" ht="15.75" x14ac:dyDescent="0.25"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</row>
    <row r="137" spans="2:14" ht="15.75" x14ac:dyDescent="0.25"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</row>
    <row r="138" spans="2:14" ht="15.75" x14ac:dyDescent="0.25"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</row>
    <row r="139" spans="2:14" ht="15.75" x14ac:dyDescent="0.25"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</row>
    <row r="140" spans="2:14" ht="15.75" x14ac:dyDescent="0.25"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</row>
    <row r="141" spans="2:14" ht="15.75" x14ac:dyDescent="0.25"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</row>
    <row r="142" spans="2:14" ht="15.75" x14ac:dyDescent="0.25"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</row>
    <row r="143" spans="2:14" ht="15.75" x14ac:dyDescent="0.25"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</row>
    <row r="144" spans="2:14" ht="15.75" x14ac:dyDescent="0.25"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</row>
    <row r="145" spans="2:14" ht="15.75" x14ac:dyDescent="0.25"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</row>
    <row r="146" spans="2:14" ht="15.75" x14ac:dyDescent="0.25"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</row>
    <row r="147" spans="2:14" ht="15.75" x14ac:dyDescent="0.25"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</row>
    <row r="148" spans="2:14" ht="15.75" x14ac:dyDescent="0.25"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</row>
    <row r="149" spans="2:14" ht="15.75" x14ac:dyDescent="0.25"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</row>
    <row r="150" spans="2:14" ht="15.75" x14ac:dyDescent="0.25"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</row>
    <row r="151" spans="2:14" ht="15.75" x14ac:dyDescent="0.25"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</row>
    <row r="152" spans="2:14" ht="15.75" x14ac:dyDescent="0.25"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</row>
    <row r="153" spans="2:14" ht="15.75" x14ac:dyDescent="0.25"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</row>
    <row r="154" spans="2:14" ht="15.75" x14ac:dyDescent="0.25"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</row>
    <row r="155" spans="2:14" ht="15.75" x14ac:dyDescent="0.25"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</row>
    <row r="156" spans="2:14" ht="15.75" x14ac:dyDescent="0.25"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</row>
    <row r="157" spans="2:14" ht="15.75" x14ac:dyDescent="0.25"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</row>
    <row r="158" spans="2:14" ht="15.75" x14ac:dyDescent="0.25"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</row>
    <row r="159" spans="2:14" ht="15.75" x14ac:dyDescent="0.25"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</row>
    <row r="160" spans="2:14" ht="15.75" x14ac:dyDescent="0.25"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</row>
    <row r="161" spans="2:14" ht="15.75" x14ac:dyDescent="0.25"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</row>
    <row r="162" spans="2:14" ht="15.75" x14ac:dyDescent="0.25"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</row>
    <row r="163" spans="2:14" ht="15.75" x14ac:dyDescent="0.25"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</row>
    <row r="164" spans="2:14" ht="15.75" x14ac:dyDescent="0.25"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</row>
    <row r="165" spans="2:14" ht="15.75" x14ac:dyDescent="0.25"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</row>
    <row r="166" spans="2:14" ht="15.75" x14ac:dyDescent="0.25"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</row>
    <row r="167" spans="2:14" ht="15.75" x14ac:dyDescent="0.25"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</row>
    <row r="168" spans="2:14" ht="15.75" x14ac:dyDescent="0.25"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</row>
    <row r="169" spans="2:14" ht="15.75" x14ac:dyDescent="0.25"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</row>
    <row r="170" spans="2:14" ht="15.75" x14ac:dyDescent="0.25"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</row>
    <row r="171" spans="2:14" ht="15.75" x14ac:dyDescent="0.25"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</row>
    <row r="172" spans="2:14" ht="15.75" x14ac:dyDescent="0.25"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</row>
    <row r="173" spans="2:14" ht="15.75" x14ac:dyDescent="0.25"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</row>
    <row r="174" spans="2:14" ht="15.75" x14ac:dyDescent="0.25"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</row>
    <row r="175" spans="2:14" ht="15.75" x14ac:dyDescent="0.25"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</row>
    <row r="176" spans="2:14" ht="15.75" x14ac:dyDescent="0.25"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</row>
    <row r="177" spans="2:14" ht="15.75" x14ac:dyDescent="0.25"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</row>
    <row r="178" spans="2:14" ht="15.75" x14ac:dyDescent="0.25"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</row>
    <row r="179" spans="2:14" ht="15.75" x14ac:dyDescent="0.25"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</row>
    <row r="180" spans="2:14" ht="15.75" x14ac:dyDescent="0.25"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</row>
    <row r="181" spans="2:14" ht="15.75" x14ac:dyDescent="0.25"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</row>
    <row r="182" spans="2:14" ht="15.75" x14ac:dyDescent="0.25"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</row>
    <row r="183" spans="2:14" ht="15.75" x14ac:dyDescent="0.25"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</row>
    <row r="184" spans="2:14" ht="15.75" x14ac:dyDescent="0.25"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</row>
    <row r="185" spans="2:14" ht="15.75" x14ac:dyDescent="0.25"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</row>
    <row r="186" spans="2:14" ht="15.75" x14ac:dyDescent="0.25"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</row>
    <row r="187" spans="2:14" ht="15.75" x14ac:dyDescent="0.25"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</row>
    <row r="188" spans="2:14" ht="15.75" x14ac:dyDescent="0.25"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</row>
    <row r="189" spans="2:14" ht="15.75" x14ac:dyDescent="0.25"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</row>
    <row r="190" spans="2:14" ht="15.75" x14ac:dyDescent="0.25"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</row>
    <row r="191" spans="2:14" ht="15.75" x14ac:dyDescent="0.25"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</row>
    <row r="192" spans="2:14" ht="15.75" x14ac:dyDescent="0.25"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</row>
    <row r="193" spans="2:14" ht="15.75" x14ac:dyDescent="0.25"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</row>
    <row r="194" spans="2:14" ht="15.75" x14ac:dyDescent="0.25"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</row>
    <row r="195" spans="2:14" ht="15.75" x14ac:dyDescent="0.25"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</row>
    <row r="196" spans="2:14" ht="15.75" x14ac:dyDescent="0.25"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</row>
    <row r="197" spans="2:14" ht="15.75" x14ac:dyDescent="0.25"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</row>
    <row r="198" spans="2:14" ht="15.75" x14ac:dyDescent="0.25"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</row>
    <row r="199" spans="2:14" ht="15.75" x14ac:dyDescent="0.25"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</row>
    <row r="200" spans="2:14" ht="15.75" x14ac:dyDescent="0.25"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</row>
    <row r="201" spans="2:14" ht="15.75" x14ac:dyDescent="0.25"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</row>
    <row r="202" spans="2:14" ht="15.75" x14ac:dyDescent="0.25"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</row>
    <row r="203" spans="2:14" ht="15.75" x14ac:dyDescent="0.25"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</row>
    <row r="204" spans="2:14" ht="15.75" x14ac:dyDescent="0.25"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</row>
    <row r="205" spans="2:14" ht="15.75" x14ac:dyDescent="0.25"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</row>
    <row r="206" spans="2:14" ht="15.75" x14ac:dyDescent="0.25"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</row>
    <row r="207" spans="2:14" ht="15.75" x14ac:dyDescent="0.25"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</row>
    <row r="208" spans="2:14" ht="15.75" x14ac:dyDescent="0.25"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</row>
    <row r="209" spans="2:14" ht="15.75" x14ac:dyDescent="0.25"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</row>
    <row r="210" spans="2:14" ht="15.75" x14ac:dyDescent="0.25"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</row>
    <row r="211" spans="2:14" ht="15.75" x14ac:dyDescent="0.25"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</row>
    <row r="212" spans="2:14" ht="15.75" x14ac:dyDescent="0.25"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</row>
    <row r="213" spans="2:14" ht="15.75" x14ac:dyDescent="0.25"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</row>
    <row r="214" spans="2:14" ht="15.75" x14ac:dyDescent="0.25"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</row>
    <row r="215" spans="2:14" ht="15.75" x14ac:dyDescent="0.25"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</row>
    <row r="216" spans="2:14" ht="15.75" x14ac:dyDescent="0.25"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</row>
    <row r="217" spans="2:14" ht="15.75" x14ac:dyDescent="0.25"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</row>
    <row r="218" spans="2:14" ht="15.75" x14ac:dyDescent="0.25"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</row>
    <row r="219" spans="2:14" ht="15.75" x14ac:dyDescent="0.25"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</row>
    <row r="220" spans="2:14" ht="15.75" x14ac:dyDescent="0.25"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</row>
    <row r="221" spans="2:14" ht="15.75" x14ac:dyDescent="0.25"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</row>
    <row r="222" spans="2:14" ht="15.75" x14ac:dyDescent="0.25"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</row>
    <row r="223" spans="2:14" ht="15.75" x14ac:dyDescent="0.25"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</row>
    <row r="224" spans="2:14" ht="15.75" x14ac:dyDescent="0.25"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</row>
    <row r="225" spans="2:14" ht="15.75" x14ac:dyDescent="0.25"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</row>
    <row r="226" spans="2:14" ht="15.75" x14ac:dyDescent="0.25"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</row>
    <row r="227" spans="2:14" ht="15.75" x14ac:dyDescent="0.25"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</row>
    <row r="228" spans="2:14" ht="15.75" x14ac:dyDescent="0.25"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</row>
    <row r="229" spans="2:14" ht="15.75" x14ac:dyDescent="0.25"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</row>
    <row r="230" spans="2:14" ht="15.75" x14ac:dyDescent="0.25"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</row>
    <row r="231" spans="2:14" ht="15.75" x14ac:dyDescent="0.25"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</row>
    <row r="232" spans="2:14" ht="15.75" x14ac:dyDescent="0.25"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</row>
    <row r="233" spans="2:14" ht="15.75" x14ac:dyDescent="0.25"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</row>
    <row r="234" spans="2:14" ht="15.75" x14ac:dyDescent="0.25"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</row>
    <row r="235" spans="2:14" ht="15.75" x14ac:dyDescent="0.25"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</row>
    <row r="236" spans="2:14" ht="15.75" x14ac:dyDescent="0.25"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</row>
    <row r="237" spans="2:14" ht="15.75" x14ac:dyDescent="0.25"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</row>
    <row r="238" spans="2:14" ht="15.75" x14ac:dyDescent="0.25"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</row>
    <row r="239" spans="2:14" ht="15.75" x14ac:dyDescent="0.25"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</row>
    <row r="240" spans="2:14" ht="15.75" x14ac:dyDescent="0.25"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</row>
    <row r="241" spans="2:14" ht="15.75" x14ac:dyDescent="0.25"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</row>
    <row r="242" spans="2:14" ht="15.75" x14ac:dyDescent="0.25"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</row>
    <row r="243" spans="2:14" ht="15.75" x14ac:dyDescent="0.25"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</row>
    <row r="244" spans="2:14" ht="15.75" x14ac:dyDescent="0.25"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</row>
    <row r="245" spans="2:14" ht="15.75" x14ac:dyDescent="0.25"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</row>
    <row r="246" spans="2:14" ht="15.75" x14ac:dyDescent="0.25"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</row>
    <row r="247" spans="2:14" ht="15.75" x14ac:dyDescent="0.25"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</row>
    <row r="248" spans="2:14" ht="15.75" x14ac:dyDescent="0.25"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</row>
    <row r="249" spans="2:14" ht="15.75" x14ac:dyDescent="0.25"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</row>
    <row r="250" spans="2:14" ht="15.75" x14ac:dyDescent="0.25"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</row>
    <row r="251" spans="2:14" ht="15.75" x14ac:dyDescent="0.25"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</row>
    <row r="252" spans="2:14" ht="15.75" x14ac:dyDescent="0.25"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</row>
    <row r="253" spans="2:14" ht="15.75" x14ac:dyDescent="0.25"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</row>
    <row r="254" spans="2:14" ht="15.75" x14ac:dyDescent="0.25"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</row>
    <row r="255" spans="2:14" ht="15.75" x14ac:dyDescent="0.25"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</row>
    <row r="256" spans="2:14" ht="15.75" x14ac:dyDescent="0.25"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</row>
    <row r="257" spans="2:14" ht="15.75" x14ac:dyDescent="0.25"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</row>
    <row r="258" spans="2:14" ht="15.75" x14ac:dyDescent="0.25"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</row>
    <row r="259" spans="2:14" ht="15.75" x14ac:dyDescent="0.25"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</row>
    <row r="260" spans="2:14" ht="15.75" x14ac:dyDescent="0.25"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</row>
    <row r="261" spans="2:14" ht="15.75" x14ac:dyDescent="0.25"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</row>
    <row r="262" spans="2:14" ht="15.75" x14ac:dyDescent="0.25"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</row>
    <row r="263" spans="2:14" ht="15.75" x14ac:dyDescent="0.25"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</row>
    <row r="264" spans="2:14" ht="15.75" x14ac:dyDescent="0.25"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</row>
    <row r="265" spans="2:14" ht="15.75" x14ac:dyDescent="0.25"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</row>
    <row r="266" spans="2:14" ht="15.75" x14ac:dyDescent="0.25"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</row>
    <row r="267" spans="2:14" ht="15.75" x14ac:dyDescent="0.25"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</row>
    <row r="268" spans="2:14" ht="15.75" x14ac:dyDescent="0.25"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</row>
    <row r="269" spans="2:14" ht="15.75" x14ac:dyDescent="0.25"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</row>
    <row r="270" spans="2:14" ht="15.75" x14ac:dyDescent="0.25"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</row>
    <row r="271" spans="2:14" ht="15.75" x14ac:dyDescent="0.25"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</row>
    <row r="272" spans="2:14" ht="15.75" x14ac:dyDescent="0.25"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</row>
    <row r="273" spans="2:14" ht="15.75" x14ac:dyDescent="0.25"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</row>
    <row r="274" spans="2:14" ht="15.75" x14ac:dyDescent="0.25"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</row>
    <row r="275" spans="2:14" ht="15.75" x14ac:dyDescent="0.25"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</row>
    <row r="276" spans="2:14" ht="15.75" x14ac:dyDescent="0.25"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</row>
    <row r="277" spans="2:14" ht="15.75" x14ac:dyDescent="0.25"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</row>
    <row r="278" spans="2:14" ht="15.75" x14ac:dyDescent="0.25"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</row>
    <row r="279" spans="2:14" ht="15.75" x14ac:dyDescent="0.25"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</row>
    <row r="280" spans="2:14" ht="15.75" x14ac:dyDescent="0.25"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</row>
    <row r="281" spans="2:14" ht="15.75" x14ac:dyDescent="0.25"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</row>
    <row r="282" spans="2:14" ht="15.75" x14ac:dyDescent="0.25"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</row>
    <row r="283" spans="2:14" ht="15.75" x14ac:dyDescent="0.25"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</row>
    <row r="284" spans="2:14" ht="15.75" x14ac:dyDescent="0.25"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</row>
    <row r="285" spans="2:14" ht="15.75" x14ac:dyDescent="0.25"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</row>
    <row r="286" spans="2:14" ht="15.75" x14ac:dyDescent="0.25"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</row>
    <row r="287" spans="2:14" ht="15.75" x14ac:dyDescent="0.25"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</row>
    <row r="288" spans="2:14" ht="15.75" x14ac:dyDescent="0.25"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</row>
    <row r="289" spans="2:14" ht="15.75" x14ac:dyDescent="0.25"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</row>
    <row r="290" spans="2:14" ht="15.75" x14ac:dyDescent="0.25"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</row>
    <row r="291" spans="2:14" ht="15.75" x14ac:dyDescent="0.25"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</row>
    <row r="292" spans="2:14" ht="15.75" x14ac:dyDescent="0.25"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</row>
    <row r="293" spans="2:14" ht="15.75" x14ac:dyDescent="0.25"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</row>
    <row r="294" spans="2:14" ht="15.75" x14ac:dyDescent="0.25"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</row>
    <row r="295" spans="2:14" ht="15.75" x14ac:dyDescent="0.25"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</row>
    <row r="296" spans="2:14" ht="15.75" x14ac:dyDescent="0.25"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</row>
    <row r="297" spans="2:14" ht="15.75" x14ac:dyDescent="0.25"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</row>
    <row r="298" spans="2:14" ht="15.75" x14ac:dyDescent="0.25"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</row>
    <row r="299" spans="2:14" ht="15.75" x14ac:dyDescent="0.25"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</row>
    <row r="300" spans="2:14" ht="15.75" x14ac:dyDescent="0.25"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</row>
    <row r="301" spans="2:14" ht="15.75" x14ac:dyDescent="0.25"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</row>
    <row r="302" spans="2:14" ht="15.75" x14ac:dyDescent="0.25"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</row>
    <row r="303" spans="2:14" ht="15.75" x14ac:dyDescent="0.25"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</row>
    <row r="304" spans="2:14" ht="15.75" x14ac:dyDescent="0.25"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</row>
    <row r="305" spans="2:14" ht="15.75" x14ac:dyDescent="0.25"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</row>
    <row r="306" spans="2:14" ht="15.75" x14ac:dyDescent="0.25"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</row>
    <row r="307" spans="2:14" ht="15.75" x14ac:dyDescent="0.25"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</row>
    <row r="308" spans="2:14" ht="15.75" x14ac:dyDescent="0.25"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</row>
    <row r="309" spans="2:14" ht="15.75" x14ac:dyDescent="0.25"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</row>
    <row r="310" spans="2:14" ht="15.75" x14ac:dyDescent="0.25"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</row>
    <row r="311" spans="2:14" ht="15.75" x14ac:dyDescent="0.25"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</row>
    <row r="312" spans="2:14" ht="15.75" x14ac:dyDescent="0.25"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</row>
    <row r="313" spans="2:14" ht="15.75" x14ac:dyDescent="0.25"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</row>
    <row r="314" spans="2:14" ht="15.75" x14ac:dyDescent="0.25"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</row>
    <row r="315" spans="2:14" ht="15.75" x14ac:dyDescent="0.25"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</row>
    <row r="316" spans="2:14" ht="15.75" x14ac:dyDescent="0.25"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</row>
    <row r="317" spans="2:14" ht="15.75" x14ac:dyDescent="0.25"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</row>
    <row r="318" spans="2:14" ht="15.75" x14ac:dyDescent="0.25"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</row>
    <row r="319" spans="2:14" ht="15.75" x14ac:dyDescent="0.25"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</row>
    <row r="320" spans="2:14" ht="15.75" x14ac:dyDescent="0.25"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</row>
    <row r="321" spans="2:14" ht="15.75" x14ac:dyDescent="0.25"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</row>
    <row r="322" spans="2:14" ht="15.75" x14ac:dyDescent="0.25"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</row>
    <row r="323" spans="2:14" ht="15.75" x14ac:dyDescent="0.25"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</row>
    <row r="324" spans="2:14" ht="15.75" x14ac:dyDescent="0.25"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</row>
    <row r="325" spans="2:14" ht="15.75" x14ac:dyDescent="0.25"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</row>
    <row r="326" spans="2:14" ht="15.75" x14ac:dyDescent="0.25"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</row>
    <row r="327" spans="2:14" ht="15.75" x14ac:dyDescent="0.25"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</row>
    <row r="328" spans="2:14" ht="15.75" x14ac:dyDescent="0.25"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</row>
    <row r="329" spans="2:14" ht="15.75" x14ac:dyDescent="0.25"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</row>
    <row r="330" spans="2:14" ht="15.75" x14ac:dyDescent="0.25"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</row>
    <row r="331" spans="2:14" ht="15.75" x14ac:dyDescent="0.25"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</row>
    <row r="332" spans="2:14" ht="15.75" x14ac:dyDescent="0.25"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</row>
    <row r="333" spans="2:14" ht="15.75" x14ac:dyDescent="0.25"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</row>
    <row r="334" spans="2:14" ht="15.75" x14ac:dyDescent="0.25"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</row>
    <row r="335" spans="2:14" ht="15.75" x14ac:dyDescent="0.25"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</row>
    <row r="336" spans="2:14" ht="15.75" x14ac:dyDescent="0.25"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</row>
    <row r="337" spans="2:14" ht="15.75" x14ac:dyDescent="0.25"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</row>
    <row r="338" spans="2:14" ht="15.75" x14ac:dyDescent="0.25"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</row>
    <row r="339" spans="2:14" ht="15.75" x14ac:dyDescent="0.25"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</row>
    <row r="340" spans="2:14" ht="15.75" x14ac:dyDescent="0.25"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</row>
    <row r="341" spans="2:14" ht="15.75" x14ac:dyDescent="0.25"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</row>
    <row r="342" spans="2:14" ht="15.75" x14ac:dyDescent="0.25"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</row>
    <row r="343" spans="2:14" ht="15.75" x14ac:dyDescent="0.25"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</row>
    <row r="344" spans="2:14" ht="15.75" x14ac:dyDescent="0.25"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</row>
    <row r="345" spans="2:14" ht="15.75" x14ac:dyDescent="0.25"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</row>
    <row r="346" spans="2:14" ht="15.75" x14ac:dyDescent="0.25"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</row>
    <row r="347" spans="2:14" ht="15.75" x14ac:dyDescent="0.25"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</row>
    <row r="348" spans="2:14" ht="15.75" x14ac:dyDescent="0.25"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</row>
    <row r="349" spans="2:14" ht="15.75" x14ac:dyDescent="0.25"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</row>
    <row r="350" spans="2:14" ht="15.75" x14ac:dyDescent="0.25"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</row>
    <row r="351" spans="2:14" ht="15.75" x14ac:dyDescent="0.25"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</row>
    <row r="352" spans="2:14" ht="15.75" x14ac:dyDescent="0.25"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</row>
    <row r="353" spans="2:14" ht="15.75" x14ac:dyDescent="0.25"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</row>
    <row r="354" spans="2:14" ht="15.75" x14ac:dyDescent="0.25"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</row>
    <row r="355" spans="2:14" ht="15.75" x14ac:dyDescent="0.25"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</row>
    <row r="356" spans="2:14" ht="15.75" x14ac:dyDescent="0.25"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</row>
    <row r="357" spans="2:14" ht="15.75" x14ac:dyDescent="0.25"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</row>
    <row r="358" spans="2:14" ht="15.75" x14ac:dyDescent="0.25"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</row>
    <row r="359" spans="2:14" ht="15.75" x14ac:dyDescent="0.25"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</row>
    <row r="360" spans="2:14" ht="15.75" x14ac:dyDescent="0.25"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</row>
    <row r="361" spans="2:14" ht="15.75" x14ac:dyDescent="0.25"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</row>
    <row r="362" spans="2:14" ht="15.75" x14ac:dyDescent="0.25"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</row>
    <row r="363" spans="2:14" ht="15.75" x14ac:dyDescent="0.25"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</row>
    <row r="364" spans="2:14" ht="15.75" x14ac:dyDescent="0.25"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</row>
    <row r="365" spans="2:14" ht="15.75" x14ac:dyDescent="0.25"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</row>
    <row r="366" spans="2:14" ht="15.75" x14ac:dyDescent="0.25"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</row>
    <row r="367" spans="2:14" ht="15.75" x14ac:dyDescent="0.25"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</row>
    <row r="368" spans="2:14" ht="15.75" x14ac:dyDescent="0.25"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</row>
    <row r="369" spans="2:14" ht="15.75" x14ac:dyDescent="0.25"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</row>
    <row r="370" spans="2:14" ht="15.75" x14ac:dyDescent="0.25"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</row>
    <row r="371" spans="2:14" ht="15.75" x14ac:dyDescent="0.25"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</row>
    <row r="372" spans="2:14" ht="15.75" x14ac:dyDescent="0.25"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</row>
    <row r="373" spans="2:14" ht="15.75" x14ac:dyDescent="0.25"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</row>
    <row r="374" spans="2:14" ht="15.75" x14ac:dyDescent="0.25"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</row>
    <row r="375" spans="2:14" ht="15.75" x14ac:dyDescent="0.25"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</row>
    <row r="376" spans="2:14" ht="15.75" x14ac:dyDescent="0.25"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</row>
    <row r="377" spans="2:14" ht="15.75" x14ac:dyDescent="0.25"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</row>
    <row r="378" spans="2:14" ht="15.75" x14ac:dyDescent="0.25"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</row>
    <row r="379" spans="2:14" ht="15.75" x14ac:dyDescent="0.25"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</row>
    <row r="380" spans="2:14" ht="15.75" x14ac:dyDescent="0.25"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</row>
    <row r="381" spans="2:14" ht="15.75" x14ac:dyDescent="0.25"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</row>
    <row r="382" spans="2:14" ht="15.75" x14ac:dyDescent="0.25"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</row>
    <row r="383" spans="2:14" ht="15.75" x14ac:dyDescent="0.25"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</row>
    <row r="384" spans="2:14" ht="15.75" x14ac:dyDescent="0.25"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</row>
    <row r="385" spans="2:14" ht="15.75" x14ac:dyDescent="0.25"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</row>
    <row r="386" spans="2:14" ht="15.75" x14ac:dyDescent="0.25"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</row>
    <row r="387" spans="2:14" ht="15.75" x14ac:dyDescent="0.25"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</row>
    <row r="388" spans="2:14" ht="15.75" x14ac:dyDescent="0.25"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</row>
    <row r="389" spans="2:14" ht="15.75" x14ac:dyDescent="0.25"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</row>
    <row r="390" spans="2:14" ht="15.75" x14ac:dyDescent="0.25"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</row>
    <row r="391" spans="2:14" ht="15.75" x14ac:dyDescent="0.25"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</row>
    <row r="392" spans="2:14" ht="15.75" x14ac:dyDescent="0.25"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</row>
    <row r="393" spans="2:14" ht="15.75" x14ac:dyDescent="0.25"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</row>
    <row r="394" spans="2:14" ht="15.75" x14ac:dyDescent="0.25"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</row>
    <row r="395" spans="2:14" ht="15.75" x14ac:dyDescent="0.25"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</row>
    <row r="396" spans="2:14" ht="15.75" x14ac:dyDescent="0.25"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</row>
    <row r="397" spans="2:14" ht="15.75" x14ac:dyDescent="0.25"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</row>
    <row r="398" spans="2:14" ht="15.75" x14ac:dyDescent="0.25"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</row>
    <row r="399" spans="2:14" ht="15.75" x14ac:dyDescent="0.25"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</row>
    <row r="400" spans="2:14" ht="15.75" x14ac:dyDescent="0.25"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</row>
    <row r="401" spans="2:14" ht="15.75" x14ac:dyDescent="0.25"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</row>
    <row r="402" spans="2:14" ht="15.75" x14ac:dyDescent="0.25"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</row>
    <row r="403" spans="2:14" ht="15.75" x14ac:dyDescent="0.25"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</row>
    <row r="404" spans="2:14" ht="15.75" x14ac:dyDescent="0.25"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</row>
    <row r="405" spans="2:14" ht="15.75" x14ac:dyDescent="0.25"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</row>
    <row r="406" spans="2:14" ht="15.75" x14ac:dyDescent="0.25"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</row>
    <row r="407" spans="2:14" ht="15.75" x14ac:dyDescent="0.25"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</row>
    <row r="408" spans="2:14" ht="15.75" x14ac:dyDescent="0.25"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</row>
    <row r="409" spans="2:14" ht="15.75" x14ac:dyDescent="0.25"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</row>
    <row r="410" spans="2:14" ht="15.75" x14ac:dyDescent="0.25"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</row>
    <row r="411" spans="2:14" ht="15.75" x14ac:dyDescent="0.25"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</row>
    <row r="412" spans="2:14" ht="15.75" x14ac:dyDescent="0.25"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</row>
    <row r="413" spans="2:14" ht="15.75" x14ac:dyDescent="0.25"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</row>
    <row r="414" spans="2:14" ht="15.75" x14ac:dyDescent="0.25"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</row>
    <row r="415" spans="2:14" ht="15.75" x14ac:dyDescent="0.25"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</row>
    <row r="416" spans="2:14" ht="15.75" x14ac:dyDescent="0.25"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</row>
    <row r="417" spans="2:14" ht="15.75" x14ac:dyDescent="0.25"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</row>
    <row r="418" spans="2:14" ht="15.75" x14ac:dyDescent="0.25"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</row>
    <row r="419" spans="2:14" x14ac:dyDescent="0.25"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25"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25"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6ABBB-4488-47BF-929D-329ED8A97545}">
  <dimension ref="A1:W999"/>
  <sheetViews>
    <sheetView workbookViewId="0">
      <pane ySplit="4" topLeftCell="A5" activePane="bottomLeft" state="frozen"/>
      <selection pane="bottomLeft" activeCell="E5" sqref="E5"/>
    </sheetView>
  </sheetViews>
  <sheetFormatPr defaultRowHeight="15" outlineLevelCol="1" x14ac:dyDescent="0.25"/>
  <cols>
    <col min="1" max="1" width="2.85546875" customWidth="1"/>
    <col min="2" max="2" width="45.28515625" customWidth="1"/>
    <col min="3" max="3" width="58.28515625" bestFit="1" customWidth="1"/>
    <col min="4" max="4" width="17.5703125" style="26" bestFit="1" customWidth="1"/>
    <col min="5" max="5" width="27" bestFit="1" customWidth="1"/>
    <col min="6" max="6" width="20.7109375" bestFit="1" customWidth="1"/>
    <col min="7" max="7" width="21.5703125" bestFit="1" customWidth="1"/>
    <col min="8" max="8" width="36.7109375" bestFit="1" customWidth="1"/>
    <col min="9" max="9" width="25.140625" style="1" hidden="1" customWidth="1" outlineLevel="1"/>
    <col min="10" max="10" width="24.7109375" style="1" hidden="1" customWidth="1" outlineLevel="1"/>
    <col min="11" max="11" width="23.5703125" style="1" hidden="1" customWidth="1" outlineLevel="1"/>
    <col min="12" max="12" width="24.140625" style="1" hidden="1" customWidth="1" outlineLevel="1"/>
    <col min="13" max="13" width="21.42578125" style="42" bestFit="1" customWidth="1" collapsed="1"/>
    <col min="15" max="15" width="39.140625" customWidth="1"/>
    <col min="16" max="16" width="7.5703125" bestFit="1" customWidth="1"/>
    <col min="17" max="17" width="13.5703125" bestFit="1" customWidth="1"/>
    <col min="18" max="18" width="7.5703125" bestFit="1" customWidth="1"/>
    <col min="19" max="19" width="8.28515625" bestFit="1" customWidth="1"/>
    <col min="20" max="20" width="8.5703125" bestFit="1" customWidth="1"/>
    <col min="21" max="21" width="19.7109375" bestFit="1" customWidth="1"/>
  </cols>
  <sheetData>
    <row r="1" spans="1:23" x14ac:dyDescent="0.25">
      <c r="E1" s="15"/>
      <c r="F1" s="43"/>
      <c r="G1" s="13" t="s">
        <v>106</v>
      </c>
      <c r="H1" s="15"/>
      <c r="M1" s="14"/>
    </row>
    <row r="2" spans="1:23" s="11" customFormat="1" ht="24" x14ac:dyDescent="0.4">
      <c r="B2" s="22" t="s">
        <v>46</v>
      </c>
      <c r="D2" s="33"/>
      <c r="F2" s="52"/>
      <c r="G2" s="13" t="s">
        <v>50</v>
      </c>
      <c r="I2" s="34"/>
      <c r="J2" s="34"/>
      <c r="K2" s="34"/>
      <c r="L2" s="34"/>
      <c r="M2" s="40"/>
    </row>
    <row r="3" spans="1:23" s="7" customFormat="1" x14ac:dyDescent="0.25">
      <c r="B3" s="29" t="s">
        <v>26</v>
      </c>
      <c r="C3" s="29" t="s">
        <v>28</v>
      </c>
      <c r="D3" s="31" t="s">
        <v>79</v>
      </c>
      <c r="E3" s="29" t="s">
        <v>37</v>
      </c>
      <c r="F3" s="29" t="s">
        <v>39</v>
      </c>
      <c r="G3" s="29" t="s">
        <v>42</v>
      </c>
      <c r="H3" s="29" t="s">
        <v>13</v>
      </c>
      <c r="I3" s="30" t="s">
        <v>40</v>
      </c>
      <c r="J3" s="30" t="s">
        <v>41</v>
      </c>
      <c r="K3" s="30" t="s">
        <v>43</v>
      </c>
      <c r="L3" s="30" t="s">
        <v>44</v>
      </c>
      <c r="M3" s="41" t="s">
        <v>38</v>
      </c>
      <c r="O3"/>
      <c r="P3"/>
      <c r="Q3"/>
      <c r="R3"/>
      <c r="S3"/>
      <c r="T3"/>
      <c r="U3"/>
      <c r="V3"/>
      <c r="W3"/>
    </row>
    <row r="4" spans="1:23" s="7" customFormat="1" ht="16.5" x14ac:dyDescent="0.25">
      <c r="A4" s="27"/>
      <c r="B4" s="47">
        <f>'Importér data'!F15</f>
        <v>0</v>
      </c>
      <c r="C4" s="47">
        <f>'Importér data'!H15</f>
        <v>0</v>
      </c>
      <c r="D4" s="48" t="s">
        <v>80</v>
      </c>
      <c r="E4" s="49"/>
      <c r="F4" s="49" t="s">
        <v>76</v>
      </c>
      <c r="G4" s="49" t="s">
        <v>77</v>
      </c>
      <c r="H4" s="49" t="s">
        <v>78</v>
      </c>
      <c r="I4" s="50"/>
      <c r="J4" s="50"/>
      <c r="K4" s="50"/>
      <c r="L4" s="50"/>
      <c r="M4" s="51">
        <f>SUM(M5:M410)</f>
        <v>0</v>
      </c>
      <c r="O4"/>
      <c r="P4"/>
      <c r="Q4"/>
      <c r="R4"/>
      <c r="S4"/>
      <c r="T4"/>
      <c r="U4"/>
      <c r="V4"/>
      <c r="W4"/>
    </row>
    <row r="5" spans="1:23" x14ac:dyDescent="0.25">
      <c r="A5" s="12"/>
      <c r="B5" s="10" t="str">
        <f>IF('Importér data'!C16="type",'Importér data'!F16,"")</f>
        <v/>
      </c>
      <c r="C5" s="10">
        <f>'Importér data'!H16</f>
        <v>0</v>
      </c>
      <c r="D5" s="32" t="str">
        <f>IF('Importér data'!C16="type",'Importér data'!N16,"")</f>
        <v/>
      </c>
      <c r="E5" s="28"/>
      <c r="F5" s="44"/>
      <c r="G5" s="44"/>
      <c r="H5" s="28"/>
      <c r="I5" s="25" t="str">
        <f>IFERROR(($D5/50-_xlfn.XLOOKUP($E5,$O$35:$O$43,$T$35:$T$43)*F5)/$P$9,"")</f>
        <v/>
      </c>
      <c r="J5" s="25" t="str">
        <f>IFERROR(_xlfn.XLOOKUP($E5,$O$35:$O$43,$T$35:$T$43)*G5/$P$9,"")</f>
        <v/>
      </c>
      <c r="K5" s="25" t="str">
        <f>IF(E5=$O$43,($D5/50-$T$43*$P$9)/$P$9,"")</f>
        <v/>
      </c>
      <c r="L5" s="25" t="str">
        <f>IFERROR(($D5/50-_xlfn.XLOOKUP($H5,$O$48:$O$62,$T$48:$T$62)*$P$14)/$P$9,"")</f>
        <v/>
      </c>
      <c r="M5" s="14">
        <f>SUM(I5:L5)</f>
        <v>0</v>
      </c>
    </row>
    <row r="6" spans="1:23" ht="21" x14ac:dyDescent="0.35">
      <c r="B6" s="10" t="str">
        <f>IF('Importér data'!C17="type",'Importér data'!F17,"")</f>
        <v/>
      </c>
      <c r="C6" s="10">
        <f>'Importér data'!H17</f>
        <v>0</v>
      </c>
      <c r="D6" s="32" t="str">
        <f>IF('Importér data'!C17="type",'Importér data'!N17,"")</f>
        <v/>
      </c>
      <c r="E6" s="24"/>
      <c r="F6" s="45"/>
      <c r="G6" s="45"/>
      <c r="H6" s="24"/>
      <c r="I6" s="25" t="str">
        <f>IFERROR(($D6/50-_xlfn.XLOOKUP($E6,$O$35:$O$43,$T$35:$T$43)*F6)/$P$9,"")</f>
        <v/>
      </c>
      <c r="J6" s="25" t="str">
        <f>IFERROR(_xlfn.XLOOKUP($E6,$O$35:$O$43,$T$35:$T$43)*G6/$P$9,"")</f>
        <v/>
      </c>
      <c r="K6" s="25" t="str">
        <f>IF(E6=$O$43,($D6/50-$T$43*$P$9)/$P$9,"")</f>
        <v/>
      </c>
      <c r="L6" s="25" t="str">
        <f>IFERROR(($D6/50-_xlfn.XLOOKUP($H6,$O$48:$O$62,$T$48:$T$62)*$P$14)/$P$9,"")</f>
        <v/>
      </c>
      <c r="M6" s="14">
        <f t="shared" ref="M6:M69" si="0">SUM(I6:L6)</f>
        <v>0</v>
      </c>
      <c r="O6" s="35" t="s">
        <v>81</v>
      </c>
      <c r="P6" s="7"/>
      <c r="Q6" s="7"/>
      <c r="R6" s="7"/>
      <c r="S6" s="7"/>
      <c r="T6" s="7"/>
      <c r="U6" s="7"/>
      <c r="V6" s="7"/>
      <c r="W6" s="7"/>
    </row>
    <row r="7" spans="1:23" ht="18" x14ac:dyDescent="0.35">
      <c r="B7" s="10" t="str">
        <f>IF('Importér data'!C18="type",'Importér data'!F18,"")</f>
        <v/>
      </c>
      <c r="C7" s="10">
        <f>'Importér data'!H18</f>
        <v>0</v>
      </c>
      <c r="D7" s="32" t="str">
        <f>IF('Importér data'!C18="type",'Importér data'!N18,"")</f>
        <v/>
      </c>
      <c r="E7" s="24"/>
      <c r="F7" s="45"/>
      <c r="G7" s="45"/>
      <c r="H7" s="24"/>
      <c r="I7" s="25" t="str">
        <f>IFERROR(($D7/50-_xlfn.XLOOKUP($E7,$O$35:$O$43,$T$35:$T$43)*F7)/$P$9,"")</f>
        <v/>
      </c>
      <c r="J7" s="25" t="str">
        <f>IFERROR(_xlfn.XLOOKUP($E7,$O$35:$O$43,$T$35:$T$43)*G7/$P$9,"")</f>
        <v/>
      </c>
      <c r="K7" s="25" t="str">
        <f>IF(E7=$O$43,($D7/50-$T$43*$P$9)/$P$9,"")</f>
        <v/>
      </c>
      <c r="L7" s="25" t="str">
        <f>IFERROR(($D7/50-_xlfn.XLOOKUP($H7,$O$48:$O$62,$T$48:$T$62)*$P$14)/$P$9,"")</f>
        <v/>
      </c>
      <c r="M7" s="14">
        <f t="shared" si="0"/>
        <v>0</v>
      </c>
      <c r="O7" s="7" t="s">
        <v>57</v>
      </c>
      <c r="P7" s="9">
        <v>12</v>
      </c>
      <c r="Q7" s="15" t="s">
        <v>59</v>
      </c>
    </row>
    <row r="8" spans="1:23" x14ac:dyDescent="0.25">
      <c r="B8" s="10" t="str">
        <f>IF('Importér data'!C19="type",'Importér data'!F19,"")</f>
        <v/>
      </c>
      <c r="C8" s="10">
        <f>'Importér data'!H19</f>
        <v>0</v>
      </c>
      <c r="D8" s="32" t="str">
        <f>IF('Importér data'!C19="type",'Importér data'!N19,"")</f>
        <v/>
      </c>
      <c r="E8" s="24"/>
      <c r="F8" s="45"/>
      <c r="G8" s="45"/>
      <c r="H8" s="24"/>
      <c r="I8" s="25" t="str">
        <f>IFERROR(($D8/50-_xlfn.XLOOKUP($E8,$O$35:$O$43,$T$35:$T$43)*F8)/$P$9,"")</f>
        <v/>
      </c>
      <c r="J8" s="25" t="str">
        <f>IFERROR(_xlfn.XLOOKUP($E8,$O$35:$O$43,$T$35:$T$43)*G8/$P$9,"")</f>
        <v/>
      </c>
      <c r="K8" s="25" t="str">
        <f>IF(E8=$O$43,($D8/50-$T$43*$P$9)/$P$9,"")</f>
        <v/>
      </c>
      <c r="L8" s="25" t="str">
        <f>IFERROR(($D8/50-_xlfn.XLOOKUP($H8,$O$48:$O$62,$T$48:$T$62)*$P$14)/$P$9,"")</f>
        <v/>
      </c>
      <c r="M8" s="14">
        <f t="shared" si="0"/>
        <v>0</v>
      </c>
    </row>
    <row r="9" spans="1:23" ht="16.5" x14ac:dyDescent="0.25">
      <c r="B9" s="10" t="str">
        <f>IF('Importér data'!C20="type",'Importér data'!F20,"")</f>
        <v/>
      </c>
      <c r="C9" s="10">
        <f>'Importér data'!H20</f>
        <v>0</v>
      </c>
      <c r="D9" s="32" t="str">
        <f>IF('Importér data'!C20="type",'Importér data'!N20,"")</f>
        <v/>
      </c>
      <c r="E9" s="24"/>
      <c r="F9" s="45"/>
      <c r="G9" s="45"/>
      <c r="H9" s="24"/>
      <c r="I9" s="25" t="str">
        <f>IFERROR(($D9/50-_xlfn.XLOOKUP($E9,$O$35:$O$43,$T$35:$T$43)*F9)/$P$9,"")</f>
        <v/>
      </c>
      <c r="J9" s="25" t="str">
        <f>IFERROR(_xlfn.XLOOKUP($E9,$O$35:$O$43,$T$35:$T$43)*G9/$P$9,"")</f>
        <v/>
      </c>
      <c r="K9" s="25" t="str">
        <f>IF(E9=$O$43,($D9/50-$T$43*$P$9)/$P$9,"")</f>
        <v/>
      </c>
      <c r="L9" s="25" t="str">
        <f>IFERROR(($D9/50-_xlfn.XLOOKUP($H9,$O$48:$O$62,$T$48:$T$62)*$P$14)/$P$9,"")</f>
        <v/>
      </c>
      <c r="M9" s="14">
        <f t="shared" si="0"/>
        <v>0</v>
      </c>
      <c r="O9" s="7" t="s">
        <v>54</v>
      </c>
      <c r="P9" s="17">
        <f>SUM(P10:P12)</f>
        <v>0</v>
      </c>
      <c r="Q9" s="7" t="s">
        <v>56</v>
      </c>
      <c r="R9" s="7"/>
      <c r="S9" s="7"/>
    </row>
    <row r="10" spans="1:23" ht="16.5" x14ac:dyDescent="0.25">
      <c r="B10" s="10" t="str">
        <f>IF('Importér data'!C21="type",'Importér data'!F21,"")</f>
        <v/>
      </c>
      <c r="C10" s="10">
        <f>'Importér data'!H21</f>
        <v>0</v>
      </c>
      <c r="D10" s="32" t="str">
        <f>IF('Importér data'!C21="type",'Importér data'!N21,"")</f>
        <v/>
      </c>
      <c r="E10" s="24"/>
      <c r="F10" s="45"/>
      <c r="G10" s="45"/>
      <c r="H10" s="24"/>
      <c r="I10" s="25" t="str">
        <f>IFERROR(($D10/50-_xlfn.XLOOKUP($E10,$O$35:$O$43,$T$35:$T$43)*F10)/$P$9,"")</f>
        <v/>
      </c>
      <c r="J10" s="25" t="str">
        <f>IFERROR(_xlfn.XLOOKUP($E10,$O$35:$O$43,$T$35:$T$43)*G10/$P$9,"")</f>
        <v/>
      </c>
      <c r="K10" s="25" t="str">
        <f>IF(E10=$O$43,($D10/50-$T$43*$P$9)/$P$9,"")</f>
        <v/>
      </c>
      <c r="L10" s="25" t="str">
        <f>IFERROR(($D10/50-_xlfn.XLOOKUP($H10,$O$48:$O$62,$T$48:$T$62)*$P$14)/$P$9,"")</f>
        <v/>
      </c>
      <c r="M10" s="14">
        <f t="shared" si="0"/>
        <v>0</v>
      </c>
      <c r="O10" s="16" t="s">
        <v>52</v>
      </c>
      <c r="P10" s="9">
        <f>'Importér data'!G8</f>
        <v>0</v>
      </c>
      <c r="Q10" t="s">
        <v>49</v>
      </c>
    </row>
    <row r="11" spans="1:23" ht="16.5" x14ac:dyDescent="0.25">
      <c r="B11" s="10" t="str">
        <f>IF('Importér data'!C22="type",'Importér data'!F22,"")</f>
        <v/>
      </c>
      <c r="C11" s="10">
        <f>'Importér data'!H22</f>
        <v>0</v>
      </c>
      <c r="D11" s="32" t="str">
        <f>IF('Importér data'!C22="type",'Importér data'!N22,"")</f>
        <v/>
      </c>
      <c r="E11" s="24"/>
      <c r="F11" s="45"/>
      <c r="G11" s="45"/>
      <c r="H11" s="24"/>
      <c r="I11" s="25" t="str">
        <f>IFERROR(($D11/50-_xlfn.XLOOKUP($E11,$O$35:$O$43,$T$35:$T$43)*F11)/$P$9,"")</f>
        <v/>
      </c>
      <c r="J11" s="25" t="str">
        <f>IFERROR(_xlfn.XLOOKUP($E11,$O$35:$O$43,$T$35:$T$43)*G11/$P$9,"")</f>
        <v/>
      </c>
      <c r="K11" s="25" t="str">
        <f>IF(E11=$O$43,($D11/50-$T$43*$P$9)/$P$9,"")</f>
        <v/>
      </c>
      <c r="L11" s="25" t="str">
        <f>IFERROR(($D11/50-_xlfn.XLOOKUP($H11,$O$48:$O$62,$T$48:$T$62)*$P$14)/$P$9,"")</f>
        <v/>
      </c>
      <c r="M11" s="14">
        <f t="shared" si="0"/>
        <v>0</v>
      </c>
      <c r="O11" s="16" t="s">
        <v>53</v>
      </c>
      <c r="P11" s="9">
        <f>'Importér data'!H8</f>
        <v>0</v>
      </c>
      <c r="Q11" t="s">
        <v>49</v>
      </c>
    </row>
    <row r="12" spans="1:23" ht="16.5" x14ac:dyDescent="0.25">
      <c r="B12" s="10" t="str">
        <f>IF('Importér data'!C23="type",'Importér data'!F23,"")</f>
        <v/>
      </c>
      <c r="C12" s="10">
        <f>'Importér data'!H23</f>
        <v>0</v>
      </c>
      <c r="D12" s="32" t="str">
        <f>IF('Importér data'!C23="type",'Importér data'!N23,"")</f>
        <v/>
      </c>
      <c r="E12" s="24"/>
      <c r="F12" s="45"/>
      <c r="G12" s="45"/>
      <c r="H12" s="24"/>
      <c r="I12" s="25" t="str">
        <f>IFERROR(($D12/50-_xlfn.XLOOKUP($E12,$O$35:$O$43,$T$35:$T$43)*F12)/$P$9,"")</f>
        <v/>
      </c>
      <c r="J12" s="25" t="str">
        <f>IFERROR(_xlfn.XLOOKUP($E12,$O$35:$O$43,$T$35:$T$43)*G12/$P$9,"")</f>
        <v/>
      </c>
      <c r="K12" s="25" t="str">
        <f>IF(E12=$O$43,($D12/50-$T$43*$P$9)/$P$9,"")</f>
        <v/>
      </c>
      <c r="L12" s="25" t="str">
        <f>IFERROR(($D12/50-_xlfn.XLOOKUP($H12,$O$48:$O$62,$T$48:$T$62)*$P$14)/$P$9,"")</f>
        <v/>
      </c>
      <c r="M12" s="14">
        <f t="shared" si="0"/>
        <v>0</v>
      </c>
      <c r="O12" s="16" t="s">
        <v>55</v>
      </c>
      <c r="P12" s="39">
        <f>'Importér data'!I8-'Importér data'!G8-'Importér data'!H8</f>
        <v>0</v>
      </c>
      <c r="Q12" t="s">
        <v>49</v>
      </c>
    </row>
    <row r="13" spans="1:23" x14ac:dyDescent="0.25">
      <c r="B13" s="10" t="str">
        <f>IF('Importér data'!C24="type",'Importér data'!F24,"")</f>
        <v/>
      </c>
      <c r="C13" s="10">
        <f>'Importér data'!H24</f>
        <v>0</v>
      </c>
      <c r="D13" s="32" t="str">
        <f>IF('Importér data'!C24="type",'Importér data'!N24,"")</f>
        <v/>
      </c>
      <c r="E13" s="24"/>
      <c r="F13" s="45"/>
      <c r="G13" s="45"/>
      <c r="H13" s="24"/>
      <c r="I13" s="25" t="str">
        <f>IFERROR(($D13/50-_xlfn.XLOOKUP($E13,$O$35:$O$43,$T$35:$T$43)*F13)/$P$9,"")</f>
        <v/>
      </c>
      <c r="J13" s="25" t="str">
        <f>IFERROR(_xlfn.XLOOKUP($E13,$O$35:$O$43,$T$35:$T$43)*G13/$P$9,"")</f>
        <v/>
      </c>
      <c r="K13" s="25" t="str">
        <f>IF(E13=$O$43,($D13/50-$T$43*$P$9)/$P$9,"")</f>
        <v/>
      </c>
      <c r="L13" s="25" t="str">
        <f>IFERROR(($D13/50-_xlfn.XLOOKUP($H13,$O$48:$O$62,$T$48:$T$62)*$P$14)/$P$9,"")</f>
        <v/>
      </c>
      <c r="M13" s="14">
        <f t="shared" si="0"/>
        <v>0</v>
      </c>
      <c r="O13" s="15"/>
    </row>
    <row r="14" spans="1:23" ht="16.5" x14ac:dyDescent="0.25">
      <c r="B14" s="10" t="str">
        <f>IF('Importér data'!C25="type",'Importér data'!F25,"")</f>
        <v/>
      </c>
      <c r="C14" s="10">
        <f>'Importér data'!H25</f>
        <v>0</v>
      </c>
      <c r="D14" s="32" t="str">
        <f>IF('Importér data'!C25="type",'Importér data'!N25,"")</f>
        <v/>
      </c>
      <c r="E14" s="24"/>
      <c r="F14" s="46"/>
      <c r="G14" s="46"/>
      <c r="H14" s="23"/>
      <c r="I14" s="25" t="str">
        <f>IFERROR(($D14/50-_xlfn.XLOOKUP($E14,$O$35:$O$43,$T$35:$T$43)*F14)/$P$9,"")</f>
        <v/>
      </c>
      <c r="J14" s="25" t="str">
        <f>IFERROR(_xlfn.XLOOKUP($E14,$O$35:$O$43,$T$35:$T$43)*G14/$P$9,"")</f>
        <v/>
      </c>
      <c r="K14" s="25" t="str">
        <f>IF(E14=$O$43,($D14/50-$T$43*$P$9)/$P$9,"")</f>
        <v/>
      </c>
      <c r="L14" s="25" t="str">
        <f>IFERROR(($D14/50-_xlfn.XLOOKUP($H14,$O$48:$O$62,$T$48:$T$62)*$P$14)/$P$9,"")</f>
        <v/>
      </c>
      <c r="M14" s="14">
        <f t="shared" si="0"/>
        <v>0</v>
      </c>
      <c r="O14" s="7" t="s">
        <v>45</v>
      </c>
      <c r="P14" s="17">
        <f>SUM(P15:P16)</f>
        <v>0</v>
      </c>
      <c r="Q14" s="7" t="s">
        <v>56</v>
      </c>
      <c r="R14" s="7"/>
      <c r="S14" s="7"/>
    </row>
    <row r="15" spans="1:23" ht="16.5" x14ac:dyDescent="0.25">
      <c r="B15" s="10" t="str">
        <f>IF('Importér data'!C26="type",'Importér data'!F26,"")</f>
        <v/>
      </c>
      <c r="C15" s="10">
        <f>'Importér data'!H26</f>
        <v>0</v>
      </c>
      <c r="D15" s="32" t="str">
        <f>IF('Importér data'!C26="type",'Importér data'!N26,"")</f>
        <v/>
      </c>
      <c r="E15" s="24"/>
      <c r="F15" s="45"/>
      <c r="G15" s="45"/>
      <c r="H15" s="24"/>
      <c r="I15" s="25" t="str">
        <f>IFERROR(($D15/50-_xlfn.XLOOKUP($E15,$O$35:$O$43,$T$35:$T$43)*F15)/$P$9,"")</f>
        <v/>
      </c>
      <c r="J15" s="25" t="str">
        <f>IFERROR(_xlfn.XLOOKUP($E15,$O$35:$O$43,$T$35:$T$43)*G15/$P$9,"")</f>
        <v/>
      </c>
      <c r="K15" s="25" t="str">
        <f>IF(E15=$O$43,($D15/50-$T$43*$P$9)/$P$9,"")</f>
        <v/>
      </c>
      <c r="L15" s="25" t="str">
        <f>IFERROR(($D15/50-_xlfn.XLOOKUP($H15,$O$48:$O$62,$T$48:$T$62)*$P$14)/$P$9,"")</f>
        <v/>
      </c>
      <c r="M15" s="14">
        <f t="shared" si="0"/>
        <v>0</v>
      </c>
      <c r="O15" s="16" t="s">
        <v>52</v>
      </c>
      <c r="P15" s="9">
        <f>'Importér data'!L8</f>
        <v>0</v>
      </c>
      <c r="Q15" t="s">
        <v>49</v>
      </c>
    </row>
    <row r="16" spans="1:23" ht="16.5" x14ac:dyDescent="0.25">
      <c r="B16" s="10" t="str">
        <f>IF('Importér data'!C27="type",'Importér data'!F27,"")</f>
        <v/>
      </c>
      <c r="C16" s="10">
        <f>'Importér data'!H27</f>
        <v>0</v>
      </c>
      <c r="D16" s="32" t="str">
        <f>IF('Importér data'!C27="type",'Importér data'!N27,"")</f>
        <v/>
      </c>
      <c r="E16" s="24"/>
      <c r="F16" s="45"/>
      <c r="G16" s="45"/>
      <c r="H16" s="24"/>
      <c r="I16" s="25" t="str">
        <f>IFERROR(($D16/50-_xlfn.XLOOKUP($E16,$O$35:$O$43,$T$35:$T$43)*F16)/$P$9,"")</f>
        <v/>
      </c>
      <c r="J16" s="25" t="str">
        <f>IFERROR(_xlfn.XLOOKUP($E16,$O$35:$O$43,$T$35:$T$43)*G16/$P$9,"")</f>
        <v/>
      </c>
      <c r="K16" s="25" t="str">
        <f>IF(E16=$O$43,($D16/50-$T$43*$P$9)/$P$9,"")</f>
        <v/>
      </c>
      <c r="L16" s="25" t="str">
        <f>IFERROR(($D16/50-_xlfn.XLOOKUP($H16,$O$48:$O$62,$T$48:$T$62)*$P$14)/$P$9,"")</f>
        <v/>
      </c>
      <c r="M16" s="14">
        <f t="shared" si="0"/>
        <v>0</v>
      </c>
      <c r="O16" s="16" t="s">
        <v>53</v>
      </c>
      <c r="P16" s="9">
        <f>'Importér data'!M8</f>
        <v>0</v>
      </c>
      <c r="Q16" t="s">
        <v>49</v>
      </c>
    </row>
    <row r="17" spans="2:18" x14ac:dyDescent="0.25">
      <c r="B17" s="10" t="str">
        <f>IF('Importér data'!C28="type",'Importér data'!F28,"")</f>
        <v/>
      </c>
      <c r="C17" s="10">
        <f>'Importér data'!H28</f>
        <v>0</v>
      </c>
      <c r="D17" s="32" t="str">
        <f>IF('Importér data'!C28="type",'Importér data'!N28,"")</f>
        <v/>
      </c>
      <c r="E17" s="24"/>
      <c r="F17" s="45"/>
      <c r="G17" s="45"/>
      <c r="H17" s="24"/>
      <c r="I17" s="25" t="str">
        <f>IFERROR(($D17/50-_xlfn.XLOOKUP($E17,$O$35:$O$43,$T$35:$T$43)*F17)/$P$9,"")</f>
        <v/>
      </c>
      <c r="J17" s="25" t="str">
        <f>IFERROR(_xlfn.XLOOKUP($E17,$O$35:$O$43,$T$35:$T$43)*G17/$P$9,"")</f>
        <v/>
      </c>
      <c r="K17" s="25" t="str">
        <f>IF(E17=$O$43,($D17/50-$T$43*$P$9)/$P$9,"")</f>
        <v/>
      </c>
      <c r="L17" s="25" t="str">
        <f>IFERROR(($D17/50-_xlfn.XLOOKUP($H17,$O$48:$O$62,$T$48:$T$62)*$P$14)/$P$9,"")</f>
        <v/>
      </c>
      <c r="M17" s="14">
        <f t="shared" si="0"/>
        <v>0</v>
      </c>
      <c r="O17" s="15"/>
    </row>
    <row r="18" spans="2:18" x14ac:dyDescent="0.25">
      <c r="B18" s="10" t="str">
        <f>IF('Importér data'!C29="type",'Importér data'!F29,"")</f>
        <v/>
      </c>
      <c r="C18" s="10">
        <f>'Importér data'!H29</f>
        <v>0</v>
      </c>
      <c r="D18" s="32" t="str">
        <f>IF('Importér data'!C29="type",'Importér data'!N29,"")</f>
        <v/>
      </c>
      <c r="E18" s="24"/>
      <c r="F18" s="45"/>
      <c r="G18" s="45"/>
      <c r="H18" s="24"/>
      <c r="I18" s="25" t="str">
        <f>IFERROR(($D18/50-_xlfn.XLOOKUP($E18,$O$35:$O$43,$T$35:$T$43)*F18)/$P$9,"")</f>
        <v/>
      </c>
      <c r="J18" s="25" t="str">
        <f>IFERROR(_xlfn.XLOOKUP($E18,$O$35:$O$43,$T$35:$T$43)*G18/$P$9,"")</f>
        <v/>
      </c>
      <c r="K18" s="25" t="str">
        <f>IF(E18=$O$43,($D18/50-$T$43*$P$9)/$P$9,"")</f>
        <v/>
      </c>
      <c r="L18" s="25" t="str">
        <f>IFERROR(($D18/50-_xlfn.XLOOKUP($H18,$O$48:$O$62,$T$48:$T$62)*$P$14)/$P$9,"")</f>
        <v/>
      </c>
      <c r="M18" s="14">
        <f t="shared" si="0"/>
        <v>0</v>
      </c>
      <c r="O18" s="15"/>
    </row>
    <row r="19" spans="2:18" ht="21" x14ac:dyDescent="0.35">
      <c r="B19" s="10" t="str">
        <f>IF('Importér data'!C30="type",'Importér data'!F30,"")</f>
        <v/>
      </c>
      <c r="C19" s="10">
        <f>'Importér data'!H30</f>
        <v>0</v>
      </c>
      <c r="D19" s="32" t="str">
        <f>IF('Importér data'!C30="type",'Importér data'!N30,"")</f>
        <v/>
      </c>
      <c r="E19" s="24"/>
      <c r="F19" s="45"/>
      <c r="G19" s="45"/>
      <c r="H19" s="24"/>
      <c r="I19" s="25" t="str">
        <f>IFERROR(($D19/50-_xlfn.XLOOKUP($E19,$O$35:$O$43,$T$35:$T$43)*F19)/$P$9,"")</f>
        <v/>
      </c>
      <c r="J19" s="25" t="str">
        <f>IFERROR(_xlfn.XLOOKUP($E19,$O$35:$O$43,$T$35:$T$43)*G19/$P$9,"")</f>
        <v/>
      </c>
      <c r="K19" s="25" t="str">
        <f>IF(E19=$O$43,($D19/50-$T$43*$P$9)/$P$9,"")</f>
        <v/>
      </c>
      <c r="L19" s="25" t="str">
        <f>IFERROR(($D19/50-_xlfn.XLOOKUP($H19,$O$48:$O$62,$T$48:$T$62)*$P$14)/$P$9,"")</f>
        <v/>
      </c>
      <c r="M19" s="14">
        <f t="shared" si="0"/>
        <v>0</v>
      </c>
      <c r="O19" s="35" t="s">
        <v>47</v>
      </c>
    </row>
    <row r="20" spans="2:18" ht="18" x14ac:dyDescent="0.35">
      <c r="B20" s="10" t="str">
        <f>IF('Importér data'!C31="type",'Importér data'!F31,"")</f>
        <v/>
      </c>
      <c r="C20" s="10">
        <f>'Importér data'!H31</f>
        <v>0</v>
      </c>
      <c r="D20" s="32" t="str">
        <f>IF('Importér data'!C31="type",'Importér data'!N31,"")</f>
        <v/>
      </c>
      <c r="E20" s="24"/>
      <c r="F20" s="45"/>
      <c r="G20" s="45"/>
      <c r="H20" s="24"/>
      <c r="I20" s="25" t="str">
        <f>IFERROR(($D20/50-_xlfn.XLOOKUP($E20,$O$35:$O$43,$T$35:$T$43)*F20)/$P$9,"")</f>
        <v/>
      </c>
      <c r="J20" s="25" t="str">
        <f>IFERROR(_xlfn.XLOOKUP($E20,$O$35:$O$43,$T$35:$T$43)*G20/$P$9,"")</f>
        <v/>
      </c>
      <c r="K20" s="25" t="str">
        <f>IF(E20=$O$43,($D20/50-$T$43*$P$9)/$P$9,"")</f>
        <v/>
      </c>
      <c r="L20" s="25" t="str">
        <f>IFERROR(($D20/50-_xlfn.XLOOKUP($H20,$O$48:$O$62,$T$48:$T$62)*$P$14)/$P$9,"")</f>
        <v/>
      </c>
      <c r="M20" s="14">
        <f t="shared" si="0"/>
        <v>0</v>
      </c>
      <c r="O20" s="18" t="s">
        <v>48</v>
      </c>
      <c r="P20" s="19">
        <f>M4</f>
        <v>0</v>
      </c>
      <c r="Q20" s="21" t="s">
        <v>58</v>
      </c>
      <c r="R20" s="20"/>
    </row>
    <row r="21" spans="2:18" ht="18" x14ac:dyDescent="0.35">
      <c r="B21" s="10" t="str">
        <f>IF('Importér data'!C32="type",'Importér data'!F32,"")</f>
        <v/>
      </c>
      <c r="C21" s="10">
        <f>'Importér data'!H32</f>
        <v>0</v>
      </c>
      <c r="D21" s="32" t="str">
        <f>IF('Importér data'!C32="type",'Importér data'!N32,"")</f>
        <v/>
      </c>
      <c r="E21" s="24"/>
      <c r="F21" s="45"/>
      <c r="G21" s="45"/>
      <c r="H21" s="24"/>
      <c r="I21" s="25" t="str">
        <f>IFERROR(($D21/50-_xlfn.XLOOKUP($E21,$O$35:$O$43,$T$35:$T$43)*F21)/$P$9,"")</f>
        <v/>
      </c>
      <c r="J21" s="25" t="str">
        <f>IFERROR(_xlfn.XLOOKUP($E21,$O$35:$O$43,$T$35:$T$43)*G21/$P$9,"")</f>
        <v/>
      </c>
      <c r="K21" s="25" t="str">
        <f>IF(E21=$O$43,($D21/50-$T$43*$P$9)/$P$9,"")</f>
        <v/>
      </c>
      <c r="L21" s="25" t="str">
        <f>IFERROR(($D21/50-_xlfn.XLOOKUP($H21,$O$48:$O$62,$T$48:$T$62)*$P$14)/$P$9,"")</f>
        <v/>
      </c>
      <c r="M21" s="14">
        <f t="shared" si="0"/>
        <v>0</v>
      </c>
      <c r="O21" s="18" t="s">
        <v>51</v>
      </c>
      <c r="P21" s="19">
        <f>P7-P20</f>
        <v>12</v>
      </c>
      <c r="Q21" s="21" t="s">
        <v>58</v>
      </c>
      <c r="R21" s="20"/>
    </row>
    <row r="22" spans="2:18" x14ac:dyDescent="0.25">
      <c r="B22" s="10" t="str">
        <f>IF('Importér data'!C33="type",'Importér data'!F33,"")</f>
        <v/>
      </c>
      <c r="C22" s="10">
        <f>'Importér data'!H33</f>
        <v>0</v>
      </c>
      <c r="D22" s="32" t="str">
        <f>IF('Importér data'!C33="type",'Importér data'!N33,"")</f>
        <v/>
      </c>
      <c r="E22" s="24"/>
      <c r="F22" s="45"/>
      <c r="G22" s="45"/>
      <c r="H22" s="24"/>
      <c r="I22" s="25" t="str">
        <f>IFERROR(($D22/50-_xlfn.XLOOKUP($E22,$O$35:$O$43,$T$35:$T$43)*F22)/$P$9,"")</f>
        <v/>
      </c>
      <c r="J22" s="25" t="str">
        <f>IFERROR(_xlfn.XLOOKUP($E22,$O$35:$O$43,$T$35:$T$43)*G22/$P$9,"")</f>
        <v/>
      </c>
      <c r="K22" s="25" t="str">
        <f>IF(E22=$O$43,($D22/50-$T$43*$P$9)/$P$9,"")</f>
        <v/>
      </c>
      <c r="L22" s="25" t="str">
        <f>IFERROR(($D22/50-_xlfn.XLOOKUP($H22,$O$48:$O$62,$T$48:$T$62)*$P$14)/$P$9,"")</f>
        <v/>
      </c>
      <c r="M22" s="14">
        <f t="shared" si="0"/>
        <v>0</v>
      </c>
    </row>
    <row r="23" spans="2:18" x14ac:dyDescent="0.25">
      <c r="B23" s="10" t="str">
        <f>IF('Importér data'!C34="type",'Importér data'!F34,"")</f>
        <v/>
      </c>
      <c r="C23" s="10">
        <f>'Importér data'!H34</f>
        <v>0</v>
      </c>
      <c r="D23" s="32" t="str">
        <f>IF('Importér data'!C34="type",'Importér data'!N34,"")</f>
        <v/>
      </c>
      <c r="E23" s="24"/>
      <c r="F23" s="45"/>
      <c r="G23" s="45"/>
      <c r="H23" s="24"/>
      <c r="I23" s="25" t="str">
        <f>IFERROR(($D23/50-_xlfn.XLOOKUP($E23,$O$35:$O$43,$T$35:$T$43)*F23)/$P$9,"")</f>
        <v/>
      </c>
      <c r="J23" s="25" t="str">
        <f>IFERROR(_xlfn.XLOOKUP($E23,$O$35:$O$43,$T$35:$T$43)*G23/$P$9,"")</f>
        <v/>
      </c>
      <c r="K23" s="25" t="str">
        <f>IF(E23=$O$43,($D23/50-$T$43*$P$9)/$P$9,"")</f>
        <v/>
      </c>
      <c r="L23" s="25" t="str">
        <f>IFERROR(($D23/50-_xlfn.XLOOKUP($H23,$O$48:$O$62,$T$48:$T$62)*$P$14)/$P$9,"")</f>
        <v/>
      </c>
      <c r="M23" s="14">
        <f t="shared" si="0"/>
        <v>0</v>
      </c>
      <c r="O23" s="15"/>
    </row>
    <row r="24" spans="2:18" x14ac:dyDescent="0.25">
      <c r="B24" s="10" t="str">
        <f>IF('Importér data'!C35="type",'Importér data'!F35,"")</f>
        <v/>
      </c>
      <c r="C24" s="10">
        <f>'Importér data'!H35</f>
        <v>0</v>
      </c>
      <c r="D24" s="32" t="str">
        <f>IF('Importér data'!C35="type",'Importér data'!N35,"")</f>
        <v/>
      </c>
      <c r="E24" s="24"/>
      <c r="F24" s="45"/>
      <c r="G24" s="45"/>
      <c r="H24" s="24"/>
      <c r="I24" s="25" t="str">
        <f>IFERROR(($D24/50-_xlfn.XLOOKUP($E24,$O$35:$O$43,$T$35:$T$43)*F24)/$P$9,"")</f>
        <v/>
      </c>
      <c r="J24" s="25" t="str">
        <f>IFERROR(_xlfn.XLOOKUP($E24,$O$35:$O$43,$T$35:$T$43)*G24/$P$9,"")</f>
        <v/>
      </c>
      <c r="K24" s="25" t="str">
        <f>IF(E24=$O$43,($D24/50-$T$43*$P$9)/$P$9,"")</f>
        <v/>
      </c>
      <c r="L24" s="25" t="str">
        <f>IFERROR(($D24/50-_xlfn.XLOOKUP($H24,$O$48:$O$62,$T$48:$T$62)*$P$14)/$P$9,"")</f>
        <v/>
      </c>
      <c r="M24" s="14">
        <f t="shared" si="0"/>
        <v>0</v>
      </c>
    </row>
    <row r="25" spans="2:18" x14ac:dyDescent="0.25">
      <c r="B25" s="10" t="str">
        <f>IF('Importér data'!C36="type",'Importér data'!F36,"")</f>
        <v/>
      </c>
      <c r="C25" s="10">
        <f>'Importér data'!H36</f>
        <v>0</v>
      </c>
      <c r="D25" s="32" t="str">
        <f>IF('Importér data'!C36="type",'Importér data'!N36,"")</f>
        <v/>
      </c>
      <c r="E25" s="24"/>
      <c r="F25" s="45"/>
      <c r="G25" s="45"/>
      <c r="H25" s="24"/>
      <c r="I25" s="25" t="str">
        <f>IFERROR(($D25/50-_xlfn.XLOOKUP($E25,$O$35:$O$43,$T$35:$T$43)*F25)/$P$9,"")</f>
        <v/>
      </c>
      <c r="J25" s="25" t="str">
        <f>IFERROR(_xlfn.XLOOKUP($E25,$O$35:$O$43,$T$35:$T$43)*G25/$P$9,"")</f>
        <v/>
      </c>
      <c r="K25" s="25" t="str">
        <f>IF(E25=$O$43,($D25/50-$T$43*$P$9)/$P$9,"")</f>
        <v/>
      </c>
      <c r="L25" s="25" t="str">
        <f>IFERROR(($D25/50-_xlfn.XLOOKUP($H25,$O$48:$O$62,$T$48:$T$62)*$P$14)/$P$9,"")</f>
        <v/>
      </c>
      <c r="M25" s="14">
        <f t="shared" si="0"/>
        <v>0</v>
      </c>
    </row>
    <row r="26" spans="2:18" x14ac:dyDescent="0.25">
      <c r="B26" s="10" t="str">
        <f>IF('Importér data'!C37="type",'Importér data'!F37,"")</f>
        <v/>
      </c>
      <c r="C26" s="10">
        <f>'Importér data'!H37</f>
        <v>0</v>
      </c>
      <c r="D26" s="32" t="str">
        <f>IF('Importér data'!C37="type",'Importér data'!N37,"")</f>
        <v/>
      </c>
      <c r="E26" s="24"/>
      <c r="F26" s="45"/>
      <c r="G26" s="45"/>
      <c r="H26" s="24"/>
      <c r="I26" s="25" t="str">
        <f>IFERROR(($D26/50-_xlfn.XLOOKUP($E26,$O$35:$O$43,$T$35:$T$43)*F26)/$P$9,"")</f>
        <v/>
      </c>
      <c r="J26" s="25" t="str">
        <f>IFERROR(_xlfn.XLOOKUP($E26,$O$35:$O$43,$T$35:$T$43)*G26/$P$9,"")</f>
        <v/>
      </c>
      <c r="K26" s="25" t="str">
        <f>IF(E26=$O$43,($D26/50-$T$43*$P$9)/$P$9,"")</f>
        <v/>
      </c>
      <c r="L26" s="25" t="str">
        <f>IFERROR(($D26/50-_xlfn.XLOOKUP($H26,$O$48:$O$62,$T$48:$T$62)*$P$14)/$P$9,"")</f>
        <v/>
      </c>
      <c r="M26" s="14">
        <f t="shared" si="0"/>
        <v>0</v>
      </c>
    </row>
    <row r="27" spans="2:18" x14ac:dyDescent="0.25">
      <c r="B27" s="10" t="str">
        <f>IF('Importér data'!C38="type",'Importér data'!F38,"")</f>
        <v/>
      </c>
      <c r="C27" s="10">
        <f>'Importér data'!H38</f>
        <v>0</v>
      </c>
      <c r="D27" s="32" t="str">
        <f>IF('Importér data'!C38="type",'Importér data'!N38,"")</f>
        <v/>
      </c>
      <c r="E27" s="24"/>
      <c r="F27" s="45"/>
      <c r="G27" s="45"/>
      <c r="H27" s="24"/>
      <c r="I27" s="25" t="str">
        <f>IFERROR(($D27/50-_xlfn.XLOOKUP($E27,$O$35:$O$43,$T$35:$T$43)*F27)/$P$9,"")</f>
        <v/>
      </c>
      <c r="J27" s="25" t="str">
        <f>IFERROR(_xlfn.XLOOKUP($E27,$O$35:$O$43,$T$35:$T$43)*G27/$P$9,"")</f>
        <v/>
      </c>
      <c r="K27" s="25" t="str">
        <f>IF(E27=$O$43,($D27/50-$T$43*$P$9)/$P$9,"")</f>
        <v/>
      </c>
      <c r="L27" s="25" t="str">
        <f>IFERROR(($D27/50-_xlfn.XLOOKUP($H27,$O$48:$O$62,$T$48:$T$62)*$P$14)/$P$9,"")</f>
        <v/>
      </c>
      <c r="M27" s="14">
        <f t="shared" si="0"/>
        <v>0</v>
      </c>
    </row>
    <row r="28" spans="2:18" x14ac:dyDescent="0.25">
      <c r="B28" s="10" t="str">
        <f>IF('Importér data'!C39="type",'Importér data'!F39,"")</f>
        <v/>
      </c>
      <c r="C28" s="10">
        <f>'Importér data'!H39</f>
        <v>0</v>
      </c>
      <c r="D28" s="32" t="str">
        <f>IF('Importér data'!C39="type",'Importér data'!N39,"")</f>
        <v/>
      </c>
      <c r="E28" s="24"/>
      <c r="F28" s="45"/>
      <c r="G28" s="45"/>
      <c r="H28" s="24"/>
      <c r="I28" s="25" t="str">
        <f>IFERROR(($D28/50-_xlfn.XLOOKUP($E28,$O$35:$O$43,$T$35:$T$43)*F28)/$P$9,"")</f>
        <v/>
      </c>
      <c r="J28" s="25" t="str">
        <f>IFERROR(_xlfn.XLOOKUP($E28,$O$35:$O$43,$T$35:$T$43)*G28/$P$9,"")</f>
        <v/>
      </c>
      <c r="K28" s="25" t="str">
        <f>IF(E28=$O$43,($D28/50-$T$43*$P$9)/$P$9,"")</f>
        <v/>
      </c>
      <c r="L28" s="25" t="str">
        <f>IFERROR(($D28/50-_xlfn.XLOOKUP($H28,$O$48:$O$62,$T$48:$T$62)*$P$14)/$P$9,"")</f>
        <v/>
      </c>
      <c r="M28" s="14">
        <f t="shared" si="0"/>
        <v>0</v>
      </c>
    </row>
    <row r="29" spans="2:18" x14ac:dyDescent="0.25">
      <c r="B29" s="10" t="str">
        <f>IF('Importér data'!C40="type",'Importér data'!F40,"")</f>
        <v/>
      </c>
      <c r="C29" s="10">
        <f>'Importér data'!H40</f>
        <v>0</v>
      </c>
      <c r="D29" s="32" t="str">
        <f>IF('Importér data'!C40="type",'Importér data'!N40,"")</f>
        <v/>
      </c>
      <c r="E29" s="24"/>
      <c r="F29" s="45"/>
      <c r="G29" s="45"/>
      <c r="H29" s="24"/>
      <c r="I29" s="25" t="str">
        <f>IFERROR(($D29/50-_xlfn.XLOOKUP($E29,$O$35:$O$43,$T$35:$T$43)*F29)/$P$9,"")</f>
        <v/>
      </c>
      <c r="J29" s="25" t="str">
        <f>IFERROR(_xlfn.XLOOKUP($E29,$O$35:$O$43,$T$35:$T$43)*G29/$P$9,"")</f>
        <v/>
      </c>
      <c r="K29" s="25" t="str">
        <f>IF(E29=$O$43,($D29/50-$T$43*$P$9)/$P$9,"")</f>
        <v/>
      </c>
      <c r="L29" s="25" t="str">
        <f>IFERROR(($D29/50-_xlfn.XLOOKUP($H29,$O$48:$O$62,$T$48:$T$62)*$P$14)/$P$9,"")</f>
        <v/>
      </c>
      <c r="M29" s="14">
        <f t="shared" si="0"/>
        <v>0</v>
      </c>
    </row>
    <row r="30" spans="2:18" x14ac:dyDescent="0.25">
      <c r="B30" s="10" t="str">
        <f>IF('Importér data'!C41="type",'Importér data'!F41,"")</f>
        <v/>
      </c>
      <c r="C30" s="10">
        <f>'Importér data'!H41</f>
        <v>0</v>
      </c>
      <c r="D30" s="32" t="str">
        <f>IF('Importér data'!C41="type",'Importér data'!N41,"")</f>
        <v/>
      </c>
      <c r="E30" s="24"/>
      <c r="F30" s="45"/>
      <c r="G30" s="45"/>
      <c r="H30" s="24"/>
      <c r="I30" s="25" t="str">
        <f>IFERROR(($D30/50-_xlfn.XLOOKUP($E30,$O$35:$O$43,$T$35:$T$43)*F30)/$P$9,"")</f>
        <v/>
      </c>
      <c r="J30" s="25" t="str">
        <f>IFERROR(_xlfn.XLOOKUP($E30,$O$35:$O$43,$T$35:$T$43)*G30/$P$9,"")</f>
        <v/>
      </c>
      <c r="K30" s="25" t="str">
        <f>IF(E30=$O$43,($D30/50-$T$43*$P$9)/$P$9,"")</f>
        <v/>
      </c>
      <c r="L30" s="25" t="str">
        <f>IFERROR(($D30/50-_xlfn.XLOOKUP($H30,$O$48:$O$62,$T$48:$T$62)*$P$14)/$P$9,"")</f>
        <v/>
      </c>
      <c r="M30" s="14">
        <f t="shared" si="0"/>
        <v>0</v>
      </c>
    </row>
    <row r="31" spans="2:18" x14ac:dyDescent="0.25">
      <c r="B31" s="10" t="str">
        <f>IF('Importér data'!C42="type",'Importér data'!F42,"")</f>
        <v/>
      </c>
      <c r="C31" s="10">
        <f>'Importér data'!H42</f>
        <v>0</v>
      </c>
      <c r="D31" s="32" t="str">
        <f>IF('Importér data'!C42="type",'Importér data'!N42,"")</f>
        <v/>
      </c>
      <c r="E31" s="24"/>
      <c r="F31" s="45"/>
      <c r="G31" s="45"/>
      <c r="H31" s="24"/>
      <c r="I31" s="25" t="str">
        <f>IFERROR(($D31/50-_xlfn.XLOOKUP($E31,$O$35:$O$43,$T$35:$T$43)*F31)/$P$9,"")</f>
        <v/>
      </c>
      <c r="J31" s="25" t="str">
        <f>IFERROR(_xlfn.XLOOKUP($E31,$O$35:$O$43,$T$35:$T$43)*G31/$P$9,"")</f>
        <v/>
      </c>
      <c r="K31" s="25" t="str">
        <f>IF(E31=$O$43,($D31/50-$T$43*$P$9)/$P$9,"")</f>
        <v/>
      </c>
      <c r="L31" s="25" t="str">
        <f>IFERROR(($D31/50-_xlfn.XLOOKUP($H31,$O$48:$O$62,$T$48:$T$62)*$P$14)/$P$9,"")</f>
        <v/>
      </c>
      <c r="M31" s="14">
        <f t="shared" si="0"/>
        <v>0</v>
      </c>
    </row>
    <row r="32" spans="2:18" x14ac:dyDescent="0.25">
      <c r="B32" s="10" t="str">
        <f>IF('Importér data'!C43="type",'Importér data'!F43,"")</f>
        <v/>
      </c>
      <c r="C32" s="10">
        <f>'Importér data'!H43</f>
        <v>0</v>
      </c>
      <c r="D32" s="32" t="str">
        <f>IF('Importér data'!C43="type",'Importér data'!N43,"")</f>
        <v/>
      </c>
      <c r="E32" s="24"/>
      <c r="F32" s="45"/>
      <c r="G32" s="45"/>
      <c r="H32" s="24"/>
      <c r="I32" s="25" t="str">
        <f>IFERROR(($D32/50-_xlfn.XLOOKUP($E32,$O$35:$O$43,$T$35:$T$43)*F32)/$P$9,"")</f>
        <v/>
      </c>
      <c r="J32" s="25" t="str">
        <f>IFERROR(_xlfn.XLOOKUP($E32,$O$35:$O$43,$T$35:$T$43)*G32/$P$9,"")</f>
        <v/>
      </c>
      <c r="K32" s="25" t="str">
        <f>IF(E32=$O$43,($D32/50-$T$43*$P$9)/$P$9,"")</f>
        <v/>
      </c>
      <c r="L32" s="25" t="str">
        <f>IFERROR(($D32/50-_xlfn.XLOOKUP($H32,$O$48:$O$62,$T$48:$T$62)*$P$14)/$P$9,"")</f>
        <v/>
      </c>
      <c r="M32" s="14">
        <f t="shared" si="0"/>
        <v>0</v>
      </c>
    </row>
    <row r="33" spans="2:20" x14ac:dyDescent="0.25">
      <c r="B33" s="10" t="str">
        <f>IF('Importér data'!C44="type",'Importér data'!F44,"")</f>
        <v/>
      </c>
      <c r="C33" s="10">
        <f>'Importér data'!H44</f>
        <v>0</v>
      </c>
      <c r="D33" s="32" t="str">
        <f>IF('Importér data'!C44="type",'Importér data'!N44,"")</f>
        <v/>
      </c>
      <c r="E33" s="24"/>
      <c r="F33" s="45"/>
      <c r="G33" s="45"/>
      <c r="H33" s="24"/>
      <c r="I33" s="25" t="str">
        <f>IFERROR(($D33/50-_xlfn.XLOOKUP($E33,$O$35:$O$43,$T$35:$T$43)*F33)/$P$9,"")</f>
        <v/>
      </c>
      <c r="J33" s="25" t="str">
        <f>IFERROR(_xlfn.XLOOKUP($E33,$O$35:$O$43,$T$35:$T$43)*G33/$P$9,"")</f>
        <v/>
      </c>
      <c r="K33" s="25" t="str">
        <f>IF(E33=$O$43,($D33/50-$T$43*$P$9)/$P$9,"")</f>
        <v/>
      </c>
      <c r="L33" s="25" t="str">
        <f>IFERROR(($D33/50-_xlfn.XLOOKUP($H33,$O$48:$O$62,$T$48:$T$62)*$P$14)/$P$9,"")</f>
        <v/>
      </c>
      <c r="M33" s="14">
        <f t="shared" si="0"/>
        <v>0</v>
      </c>
      <c r="O33" s="1" t="s">
        <v>0</v>
      </c>
    </row>
    <row r="34" spans="2:20" ht="30.75" thickBot="1" x14ac:dyDescent="0.3">
      <c r="B34" s="10" t="str">
        <f>IF('Importér data'!C45="type",'Importér data'!F45,"")</f>
        <v/>
      </c>
      <c r="C34" s="10">
        <f>'Importér data'!H45</f>
        <v>0</v>
      </c>
      <c r="D34" s="32" t="str">
        <f>IF('Importér data'!C45="type",'Importér data'!N45,"")</f>
        <v/>
      </c>
      <c r="E34" s="24"/>
      <c r="F34" s="45"/>
      <c r="G34" s="45"/>
      <c r="H34" s="24"/>
      <c r="I34" s="25" t="str">
        <f>IFERROR(($D34/50-_xlfn.XLOOKUP($E34,$O$35:$O$43,$T$35:$T$43)*F34)/$P$9,"")</f>
        <v/>
      </c>
      <c r="J34" s="25" t="str">
        <f>IFERROR(_xlfn.XLOOKUP($E34,$O$35:$O$43,$T$35:$T$43)*G34/$P$9,"")</f>
        <v/>
      </c>
      <c r="K34" s="25" t="str">
        <f>IF(E34=$O$43,($D34/50-$T$43*$P$9)/$P$9,"")</f>
        <v/>
      </c>
      <c r="L34" s="25" t="str">
        <f>IFERROR(($D34/50-_xlfn.XLOOKUP($H34,$O$48:$O$62,$T$48:$T$62)*$P$14)/$P$9,"")</f>
        <v/>
      </c>
      <c r="M34" s="14">
        <f t="shared" si="0"/>
        <v>0</v>
      </c>
      <c r="O34" s="2" t="s">
        <v>1</v>
      </c>
      <c r="P34" s="2"/>
      <c r="Q34" s="2"/>
      <c r="R34" s="2"/>
      <c r="S34" s="2"/>
      <c r="T34" s="2" t="s">
        <v>2</v>
      </c>
    </row>
    <row r="35" spans="2:20" ht="16.5" thickTop="1" thickBot="1" x14ac:dyDescent="0.3">
      <c r="B35" s="10" t="str">
        <f>IF('Importér data'!C46="type",'Importér data'!F46,"")</f>
        <v/>
      </c>
      <c r="C35" s="10">
        <f>'Importér data'!H46</f>
        <v>0</v>
      </c>
      <c r="D35" s="32" t="str">
        <f>IF('Importér data'!C46="type",'Importér data'!N46,"")</f>
        <v/>
      </c>
      <c r="E35" s="24"/>
      <c r="F35" s="45"/>
      <c r="G35" s="45"/>
      <c r="H35" s="24"/>
      <c r="I35" s="25" t="str">
        <f>IFERROR(($D35/50-_xlfn.XLOOKUP($E35,$O$35:$O$43,$T$35:$T$43)*F35)/$P$9,"")</f>
        <v/>
      </c>
      <c r="J35" s="25" t="str">
        <f>IFERROR(_xlfn.XLOOKUP($E35,$O$35:$O$43,$T$35:$T$43)*G35/$P$9,"")</f>
        <v/>
      </c>
      <c r="K35" s="25" t="str">
        <f>IF(E35=$O$43,($D35/50-$T$43*$P$9)/$P$9,"")</f>
        <v/>
      </c>
      <c r="L35" s="25" t="str">
        <f>IFERROR(($D35/50-_xlfn.XLOOKUP($H35,$O$48:$O$62,$T$48:$T$62)*$P$14)/$P$9,"")</f>
        <v/>
      </c>
      <c r="M35" s="14">
        <f t="shared" si="0"/>
        <v>0</v>
      </c>
      <c r="O35" s="4" t="s">
        <v>4</v>
      </c>
      <c r="P35" s="4"/>
      <c r="Q35" s="4"/>
      <c r="R35" s="4"/>
      <c r="S35" s="4"/>
      <c r="T35" s="8">
        <v>1.3</v>
      </c>
    </row>
    <row r="36" spans="2:20" ht="16.5" thickTop="1" thickBot="1" x14ac:dyDescent="0.3">
      <c r="B36" s="10" t="str">
        <f>IF('Importér data'!C47="type",'Importér data'!F47,"")</f>
        <v/>
      </c>
      <c r="C36" s="10">
        <f>'Importér data'!H47</f>
        <v>0</v>
      </c>
      <c r="D36" s="32" t="str">
        <f>IF('Importér data'!C47="type",'Importér data'!N47,"")</f>
        <v/>
      </c>
      <c r="E36" s="24"/>
      <c r="F36" s="45"/>
      <c r="G36" s="45"/>
      <c r="H36" s="24"/>
      <c r="I36" s="25" t="str">
        <f>IFERROR(($D36/50-_xlfn.XLOOKUP($E36,$O$35:$O$43,$T$35:$T$43)*F36)/$P$9,"")</f>
        <v/>
      </c>
      <c r="J36" s="25" t="str">
        <f>IFERROR(_xlfn.XLOOKUP($E36,$O$35:$O$43,$T$35:$T$43)*G36/$P$9,"")</f>
        <v/>
      </c>
      <c r="K36" s="25" t="str">
        <f>IF(E36=$O$43,($D36/50-$T$43*$P$9)/$P$9,"")</f>
        <v/>
      </c>
      <c r="L36" s="25" t="str">
        <f>IFERROR(($D36/50-_xlfn.XLOOKUP($H36,$O$48:$O$62,$T$48:$T$62)*$P$14)/$P$9,"")</f>
        <v/>
      </c>
      <c r="M36" s="14">
        <f t="shared" si="0"/>
        <v>0</v>
      </c>
      <c r="O36" s="4" t="s">
        <v>7</v>
      </c>
      <c r="P36" s="4"/>
      <c r="Q36" s="4"/>
      <c r="R36" s="4"/>
      <c r="S36" s="4"/>
      <c r="T36" s="8">
        <v>0.65</v>
      </c>
    </row>
    <row r="37" spans="2:20" ht="16.5" thickTop="1" thickBot="1" x14ac:dyDescent="0.3">
      <c r="B37" s="10" t="str">
        <f>IF('Importér data'!C48="type",'Importér data'!F48,"")</f>
        <v/>
      </c>
      <c r="C37" s="10">
        <f>'Importér data'!H48</f>
        <v>0</v>
      </c>
      <c r="D37" s="32" t="str">
        <f>IF('Importér data'!C48="type",'Importér data'!N48,"")</f>
        <v/>
      </c>
      <c r="E37" s="24"/>
      <c r="F37" s="45"/>
      <c r="G37" s="45"/>
      <c r="H37" s="24"/>
      <c r="I37" s="25" t="str">
        <f>IFERROR(($D37/50-_xlfn.XLOOKUP($E37,$O$35:$O$43,$T$35:$T$43)*F37)/$P$9,"")</f>
        <v/>
      </c>
      <c r="J37" s="25" t="str">
        <f>IFERROR(_xlfn.XLOOKUP($E37,$O$35:$O$43,$T$35:$T$43)*G37/$P$9,"")</f>
        <v/>
      </c>
      <c r="K37" s="25" t="str">
        <f>IF(E37=$O$43,($D37/50-$T$43*$P$9)/$P$9,"")</f>
        <v/>
      </c>
      <c r="L37" s="25" t="str">
        <f>IFERROR(($D37/50-_xlfn.XLOOKUP($H37,$O$48:$O$62,$T$48:$T$62)*$P$14)/$P$9,"")</f>
        <v/>
      </c>
      <c r="M37" s="14">
        <f t="shared" si="0"/>
        <v>0</v>
      </c>
      <c r="O37" s="4" t="s">
        <v>8</v>
      </c>
      <c r="P37" s="4"/>
      <c r="Q37" s="4"/>
      <c r="R37" s="4"/>
      <c r="S37" s="4"/>
      <c r="T37" s="8">
        <v>0.45</v>
      </c>
    </row>
    <row r="38" spans="2:20" ht="16.5" thickTop="1" thickBot="1" x14ac:dyDescent="0.3">
      <c r="B38" s="10" t="str">
        <f>IF('Importér data'!C49="type",'Importér data'!F49,"")</f>
        <v/>
      </c>
      <c r="C38" s="10">
        <f>'Importér data'!H49</f>
        <v>0</v>
      </c>
      <c r="D38" s="32" t="str">
        <f>IF('Importér data'!C49="type",'Importér data'!N49,"")</f>
        <v/>
      </c>
      <c r="E38" s="24"/>
      <c r="F38" s="45"/>
      <c r="G38" s="45"/>
      <c r="H38" s="24"/>
      <c r="I38" s="25" t="str">
        <f>IFERROR(($D38/50-_xlfn.XLOOKUP($E38,$O$35:$O$43,$T$35:$T$43)*F38)/$P$9,"")</f>
        <v/>
      </c>
      <c r="J38" s="25" t="str">
        <f>IFERROR(_xlfn.XLOOKUP($E38,$O$35:$O$43,$T$35:$T$43)*G38/$P$9,"")</f>
        <v/>
      </c>
      <c r="K38" s="25" t="str">
        <f>IF(E38=$O$43,($D38/50-$T$43*$P$9)/$P$9,"")</f>
        <v/>
      </c>
      <c r="L38" s="25" t="str">
        <f>IFERROR(($D38/50-_xlfn.XLOOKUP($H38,$O$48:$O$62,$T$48:$T$62)*$P$14)/$P$9,"")</f>
        <v/>
      </c>
      <c r="M38" s="14">
        <f t="shared" si="0"/>
        <v>0</v>
      </c>
      <c r="O38" s="4" t="s">
        <v>9</v>
      </c>
      <c r="P38" s="4"/>
      <c r="Q38" s="4"/>
      <c r="R38" s="4"/>
      <c r="S38" s="4"/>
      <c r="T38" s="8">
        <v>1.03</v>
      </c>
    </row>
    <row r="39" spans="2:20" ht="16.5" thickTop="1" thickBot="1" x14ac:dyDescent="0.3">
      <c r="B39" s="10" t="str">
        <f>IF('Importér data'!C50="type",'Importér data'!F50,"")</f>
        <v/>
      </c>
      <c r="C39" s="10">
        <f>'Importér data'!H50</f>
        <v>0</v>
      </c>
      <c r="D39" s="32" t="str">
        <f>IF('Importér data'!C50="type",'Importér data'!N50,"")</f>
        <v/>
      </c>
      <c r="E39" s="24"/>
      <c r="F39" s="45"/>
      <c r="G39" s="45"/>
      <c r="H39" s="24"/>
      <c r="I39" s="25" t="str">
        <f>IFERROR(($D39/50-_xlfn.XLOOKUP($E39,$O$35:$O$43,$T$35:$T$43)*F39)/$P$9,"")</f>
        <v/>
      </c>
      <c r="J39" s="25" t="str">
        <f>IFERROR(_xlfn.XLOOKUP($E39,$O$35:$O$43,$T$35:$T$43)*G39/$P$9,"")</f>
        <v/>
      </c>
      <c r="K39" s="25" t="str">
        <f>IF(E39=$O$43,($D39/50-$T$43*$P$9)/$P$9,"")</f>
        <v/>
      </c>
      <c r="L39" s="25" t="str">
        <f>IFERROR(($D39/50-_xlfn.XLOOKUP($H39,$O$48:$O$62,$T$48:$T$62)*$P$14)/$P$9,"")</f>
        <v/>
      </c>
      <c r="M39" s="14">
        <f t="shared" si="0"/>
        <v>0</v>
      </c>
      <c r="O39" s="4" t="s">
        <v>10</v>
      </c>
      <c r="P39" s="4"/>
      <c r="Q39" s="4"/>
      <c r="R39" s="4"/>
      <c r="S39" s="4"/>
      <c r="T39" s="8">
        <v>3</v>
      </c>
    </row>
    <row r="40" spans="2:20" ht="16.5" thickTop="1" thickBot="1" x14ac:dyDescent="0.3">
      <c r="B40" s="10" t="str">
        <f>IF('Importér data'!C51="type",'Importér data'!F51,"")</f>
        <v/>
      </c>
      <c r="C40" s="10">
        <f>'Importér data'!H51</f>
        <v>0</v>
      </c>
      <c r="D40" s="32" t="str">
        <f>IF('Importér data'!C51="type",'Importér data'!N51,"")</f>
        <v/>
      </c>
      <c r="E40" s="24"/>
      <c r="F40" s="45"/>
      <c r="G40" s="45"/>
      <c r="H40" s="24"/>
      <c r="I40" s="25" t="str">
        <f>IFERROR(($D40/50-_xlfn.XLOOKUP($E40,$O$35:$O$43,$T$35:$T$43)*F40)/$P$9,"")</f>
        <v/>
      </c>
      <c r="J40" s="25" t="str">
        <f>IFERROR(_xlfn.XLOOKUP($E40,$O$35:$O$43,$T$35:$T$43)*G40/$P$9,"")</f>
        <v/>
      </c>
      <c r="K40" s="25" t="str">
        <f>IF(E40=$O$43,($D40/50-$T$43*$P$9)/$P$9,"")</f>
        <v/>
      </c>
      <c r="L40" s="25" t="str">
        <f>IFERROR(($D40/50-_xlfn.XLOOKUP($H40,$O$48:$O$62,$T$48:$T$62)*$P$14)/$P$9,"")</f>
        <v/>
      </c>
      <c r="M40" s="14">
        <f t="shared" si="0"/>
        <v>0</v>
      </c>
      <c r="O40" s="4" t="s">
        <v>11</v>
      </c>
      <c r="P40" s="4"/>
      <c r="Q40" s="4"/>
      <c r="R40" s="4"/>
      <c r="S40" s="4"/>
      <c r="T40" s="8">
        <v>2.27</v>
      </c>
    </row>
    <row r="41" spans="2:20" ht="16.5" thickTop="1" thickBot="1" x14ac:dyDescent="0.3">
      <c r="B41" s="10" t="str">
        <f>IF('Importér data'!C52="type",'Importér data'!F52,"")</f>
        <v/>
      </c>
      <c r="C41" s="10">
        <f>'Importér data'!H52</f>
        <v>0</v>
      </c>
      <c r="D41" s="32" t="str">
        <f>IF('Importér data'!C52="type",'Importér data'!N52,"")</f>
        <v/>
      </c>
      <c r="E41" s="24"/>
      <c r="F41" s="45"/>
      <c r="G41" s="45"/>
      <c r="H41" s="24"/>
      <c r="I41" s="25" t="str">
        <f>IFERROR(($D41/50-_xlfn.XLOOKUP($E41,$O$35:$O$43,$T$35:$T$43)*F41)/$P$9,"")</f>
        <v/>
      </c>
      <c r="J41" s="25" t="str">
        <f>IFERROR(_xlfn.XLOOKUP($E41,$O$35:$O$43,$T$35:$T$43)*G41/$P$9,"")</f>
        <v/>
      </c>
      <c r="K41" s="25" t="str">
        <f>IF(E41=$O$43,($D41/50-$T$43*$P$9)/$P$9,"")</f>
        <v/>
      </c>
      <c r="L41" s="25" t="str">
        <f>IFERROR(($D41/50-_xlfn.XLOOKUP($H41,$O$48:$O$62,$T$48:$T$62)*$P$14)/$P$9,"")</f>
        <v/>
      </c>
      <c r="M41" s="14">
        <f t="shared" si="0"/>
        <v>0</v>
      </c>
      <c r="O41" s="4" t="s">
        <v>14</v>
      </c>
      <c r="P41" s="4"/>
      <c r="Q41" s="4"/>
      <c r="R41" s="4"/>
      <c r="S41" s="4"/>
      <c r="T41" s="8">
        <v>2.85</v>
      </c>
    </row>
    <row r="42" spans="2:20" ht="16.5" thickTop="1" thickBot="1" x14ac:dyDescent="0.3">
      <c r="B42" s="10" t="str">
        <f>IF('Importér data'!C53="type",'Importér data'!F53,"")</f>
        <v/>
      </c>
      <c r="C42" s="10">
        <f>'Importér data'!H53</f>
        <v>0</v>
      </c>
      <c r="D42" s="32" t="str">
        <f>IF('Importér data'!C53="type",'Importér data'!N53,"")</f>
        <v/>
      </c>
      <c r="E42" s="24"/>
      <c r="F42" s="45"/>
      <c r="G42" s="45"/>
      <c r="H42" s="24"/>
      <c r="I42" s="25" t="str">
        <f>IFERROR(($D42/50-_xlfn.XLOOKUP($E42,$O$35:$O$43,$T$35:$T$43)*F42)/$P$9,"")</f>
        <v/>
      </c>
      <c r="J42" s="25" t="str">
        <f>IFERROR(_xlfn.XLOOKUP($E42,$O$35:$O$43,$T$35:$T$43)*G42/$P$9,"")</f>
        <v/>
      </c>
      <c r="K42" s="25" t="str">
        <f>IF(E42=$O$43,($D42/50-$T$43*$P$9)/$P$9,"")</f>
        <v/>
      </c>
      <c r="L42" s="25" t="str">
        <f>IFERROR(($D42/50-_xlfn.XLOOKUP($H42,$O$48:$O$62,$T$48:$T$62)*$P$14)/$P$9,"")</f>
        <v/>
      </c>
      <c r="M42" s="14">
        <f t="shared" si="0"/>
        <v>0</v>
      </c>
      <c r="O42" s="4" t="s">
        <v>12</v>
      </c>
      <c r="P42" s="4"/>
      <c r="Q42" s="4"/>
      <c r="R42" s="4"/>
      <c r="S42" s="4"/>
      <c r="T42" s="8">
        <v>0.47</v>
      </c>
    </row>
    <row r="43" spans="2:20" ht="16.5" thickTop="1" thickBot="1" x14ac:dyDescent="0.3">
      <c r="B43" s="10" t="str">
        <f>IF('Importér data'!C54="type",'Importér data'!F54,"")</f>
        <v/>
      </c>
      <c r="C43" s="10">
        <f>'Importér data'!H54</f>
        <v>0</v>
      </c>
      <c r="D43" s="32" t="str">
        <f>IF('Importér data'!C54="type",'Importér data'!N54,"")</f>
        <v/>
      </c>
      <c r="E43" s="24"/>
      <c r="F43" s="45"/>
      <c r="G43" s="45"/>
      <c r="H43" s="24"/>
      <c r="I43" s="25" t="str">
        <f>IFERROR(($D43/50-_xlfn.XLOOKUP($E43,$O$35:$O$43,$T$35:$T$43)*F43)/$P$9,"")</f>
        <v/>
      </c>
      <c r="J43" s="25" t="str">
        <f>IFERROR(_xlfn.XLOOKUP($E43,$O$35:$O$43,$T$35:$T$43)*G43/$P$9,"")</f>
        <v/>
      </c>
      <c r="K43" s="25" t="str">
        <f>IF(E43=$O$43,($D43/50-$T$43*$P$9)/$P$9,"")</f>
        <v/>
      </c>
      <c r="L43" s="25" t="str">
        <f>IFERROR(($D43/50-_xlfn.XLOOKUP($H43,$O$48:$O$62,$T$48:$T$62)*$P$14)/$P$9,"")</f>
        <v/>
      </c>
      <c r="M43" s="14">
        <f t="shared" si="0"/>
        <v>0</v>
      </c>
      <c r="O43" s="4" t="s">
        <v>6</v>
      </c>
      <c r="P43" s="4"/>
      <c r="Q43" s="4"/>
      <c r="R43" s="4"/>
      <c r="S43" s="4"/>
      <c r="T43" s="8">
        <v>1.06</v>
      </c>
    </row>
    <row r="44" spans="2:20" ht="15.75" thickTop="1" x14ac:dyDescent="0.25">
      <c r="B44" s="10" t="str">
        <f>IF('Importér data'!C55="type",'Importér data'!F55,"")</f>
        <v/>
      </c>
      <c r="C44" s="10">
        <f>'Importér data'!H55</f>
        <v>0</v>
      </c>
      <c r="D44" s="32" t="str">
        <f>IF('Importér data'!C55="type",'Importér data'!N55,"")</f>
        <v/>
      </c>
      <c r="E44" s="24"/>
      <c r="F44" s="45"/>
      <c r="G44" s="45"/>
      <c r="H44" s="24"/>
      <c r="I44" s="25" t="str">
        <f>IFERROR(($D44/50-_xlfn.XLOOKUP($E44,$O$35:$O$43,$T$35:$T$43)*F44)/$P$9,"")</f>
        <v/>
      </c>
      <c r="J44" s="25" t="str">
        <f>IFERROR(_xlfn.XLOOKUP($E44,$O$35:$O$43,$T$35:$T$43)*G44/$P$9,"")</f>
        <v/>
      </c>
      <c r="K44" s="25" t="str">
        <f>IF(E44=$O$43,($D44/50-$T$43*$P$9)/$P$9,"")</f>
        <v/>
      </c>
      <c r="L44" s="25" t="str">
        <f>IFERROR(($D44/50-_xlfn.XLOOKUP($H44,$O$48:$O$62,$T$48:$T$62)*$P$14)/$P$9,"")</f>
        <v/>
      </c>
      <c r="M44" s="14">
        <f t="shared" si="0"/>
        <v>0</v>
      </c>
    </row>
    <row r="45" spans="2:20" x14ac:dyDescent="0.25">
      <c r="B45" s="10" t="str">
        <f>IF('Importér data'!C56="type",'Importér data'!F56,"")</f>
        <v/>
      </c>
      <c r="C45" s="10">
        <f>'Importér data'!H56</f>
        <v>0</v>
      </c>
      <c r="D45" s="32" t="str">
        <f>IF('Importér data'!C56="type",'Importér data'!N56,"")</f>
        <v/>
      </c>
      <c r="E45" s="24"/>
      <c r="F45" s="45"/>
      <c r="G45" s="45"/>
      <c r="H45" s="24"/>
      <c r="I45" s="25" t="str">
        <f>IFERROR(($D45/50-_xlfn.XLOOKUP($E45,$O$35:$O$43,$T$35:$T$43)*F45)/$P$9,"")</f>
        <v/>
      </c>
      <c r="J45" s="25" t="str">
        <f>IFERROR(_xlfn.XLOOKUP($E45,$O$35:$O$43,$T$35:$T$43)*G45/$P$9,"")</f>
        <v/>
      </c>
      <c r="K45" s="25" t="str">
        <f>IF(E45=$O$43,($D45/50-$T$43*$P$9)/$P$9,"")</f>
        <v/>
      </c>
      <c r="L45" s="25" t="str">
        <f>IFERROR(($D45/50-_xlfn.XLOOKUP($H45,$O$48:$O$62,$T$48:$T$62)*$P$14)/$P$9,"")</f>
        <v/>
      </c>
      <c r="M45" s="14">
        <f t="shared" si="0"/>
        <v>0</v>
      </c>
    </row>
    <row r="46" spans="2:20" x14ac:dyDescent="0.25">
      <c r="B46" s="10" t="str">
        <f>IF('Importér data'!C57="type",'Importér data'!F57,"")</f>
        <v/>
      </c>
      <c r="C46" s="10">
        <f>'Importér data'!H57</f>
        <v>0</v>
      </c>
      <c r="D46" s="32" t="str">
        <f>IF('Importér data'!C57="type",'Importér data'!N57,"")</f>
        <v/>
      </c>
      <c r="E46" s="24"/>
      <c r="F46" s="45"/>
      <c r="G46" s="45"/>
      <c r="H46" s="24"/>
      <c r="I46" s="25" t="str">
        <f>IFERROR(($D46/50-_xlfn.XLOOKUP($E46,$O$35:$O$43,$T$35:$T$43)*F46)/$P$9,"")</f>
        <v/>
      </c>
      <c r="J46" s="25" t="str">
        <f>IFERROR(_xlfn.XLOOKUP($E46,$O$35:$O$43,$T$35:$T$43)*G46/$P$9,"")</f>
        <v/>
      </c>
      <c r="K46" s="25" t="str">
        <f>IF(E46=$O$43,($D46/50-$T$43*$P$9)/$P$9,"")</f>
        <v/>
      </c>
      <c r="L46" s="25" t="str">
        <f>IFERROR(($D46/50-_xlfn.XLOOKUP($H46,$O$48:$O$62,$T$48:$T$62)*$P$14)/$P$9,"")</f>
        <v/>
      </c>
      <c r="M46" s="14">
        <f t="shared" si="0"/>
        <v>0</v>
      </c>
      <c r="O46" s="1" t="s">
        <v>21</v>
      </c>
    </row>
    <row r="47" spans="2:20" ht="15.75" thickBot="1" x14ac:dyDescent="0.3">
      <c r="B47" s="10" t="str">
        <f>IF('Importér data'!C58="type",'Importér data'!F58,"")</f>
        <v/>
      </c>
      <c r="C47" s="10">
        <f>'Importér data'!H58</f>
        <v>0</v>
      </c>
      <c r="D47" s="32" t="str">
        <f>IF('Importér data'!C58="type",'Importér data'!N58,"")</f>
        <v/>
      </c>
      <c r="E47" s="24"/>
      <c r="F47" s="45"/>
      <c r="G47" s="45"/>
      <c r="H47" s="24"/>
      <c r="I47" s="25" t="str">
        <f>IFERROR(($D47/50-_xlfn.XLOOKUP($E47,$O$35:$O$43,$T$35:$T$43)*F47)/$P$9,"")</f>
        <v/>
      </c>
      <c r="J47" s="25" t="str">
        <f>IFERROR(_xlfn.XLOOKUP($E47,$O$35:$O$43,$T$35:$T$43)*G47/$P$9,"")</f>
        <v/>
      </c>
      <c r="K47" s="25" t="str">
        <f>IF(E47=$O$43,($D47/50-$T$43*$P$9)/$P$9,"")</f>
        <v/>
      </c>
      <c r="L47" s="25" t="str">
        <f>IFERROR(($D47/50-_xlfn.XLOOKUP($H47,$O$48:$O$62,$T$48:$T$62)*$P$14)/$P$9,"")</f>
        <v/>
      </c>
      <c r="M47" s="14">
        <f t="shared" si="0"/>
        <v>0</v>
      </c>
      <c r="O47" s="2" t="s">
        <v>15</v>
      </c>
      <c r="P47" s="2" t="s">
        <v>16</v>
      </c>
      <c r="Q47" s="2" t="s">
        <v>17</v>
      </c>
      <c r="R47" s="2" t="s">
        <v>18</v>
      </c>
      <c r="S47" s="2" t="s">
        <v>19</v>
      </c>
      <c r="T47" s="2" t="s">
        <v>20</v>
      </c>
    </row>
    <row r="48" spans="2:20" ht="16.5" thickTop="1" thickBot="1" x14ac:dyDescent="0.3">
      <c r="B48" s="10" t="str">
        <f>IF('Importér data'!C59="type",'Importér data'!F59,"")</f>
        <v/>
      </c>
      <c r="C48" s="10">
        <f>'Importér data'!H59</f>
        <v>0</v>
      </c>
      <c r="D48" s="32" t="str">
        <f>IF('Importér data'!C59="type",'Importér data'!N59,"")</f>
        <v/>
      </c>
      <c r="E48" s="24"/>
      <c r="F48" s="45"/>
      <c r="G48" s="45"/>
      <c r="H48" s="24"/>
      <c r="I48" s="25" t="str">
        <f>IFERROR(($D48/50-_xlfn.XLOOKUP($E48,$O$35:$O$43,$T$35:$T$43)*F48)/$P$9,"")</f>
        <v/>
      </c>
      <c r="J48" s="25" t="str">
        <f>IFERROR(_xlfn.XLOOKUP($E48,$O$35:$O$43,$T$35:$T$43)*G48/$P$9,"")</f>
        <v/>
      </c>
      <c r="K48" s="25" t="str">
        <f>IF(E48=$O$43,($D48/50-$T$43*$P$9)/$P$9,"")</f>
        <v/>
      </c>
      <c r="L48" s="25" t="str">
        <f>IFERROR(($D48/50-_xlfn.XLOOKUP($H48,$O$48:$O$62,$T$48:$T$62)*$P$14)/$P$9,"")</f>
        <v/>
      </c>
      <c r="M48" s="14">
        <f t="shared" si="0"/>
        <v>0</v>
      </c>
      <c r="O48" s="4" t="s">
        <v>60</v>
      </c>
      <c r="P48" s="4">
        <v>8.6300000000000005E-3</v>
      </c>
      <c r="Q48" s="4">
        <v>1.137E-2</v>
      </c>
      <c r="R48" s="4"/>
      <c r="S48" s="4">
        <v>-5.62E-3</v>
      </c>
      <c r="T48" s="8">
        <f>SUM(P48:S48)</f>
        <v>1.438E-2</v>
      </c>
    </row>
    <row r="49" spans="2:20" ht="16.5" thickTop="1" thickBot="1" x14ac:dyDescent="0.3">
      <c r="B49" s="10" t="str">
        <f>IF('Importér data'!C60="type",'Importér data'!F60,"")</f>
        <v/>
      </c>
      <c r="C49" s="10">
        <f>'Importér data'!H60</f>
        <v>0</v>
      </c>
      <c r="D49" s="32" t="str">
        <f>IF('Importér data'!C60="type",'Importér data'!N60,"")</f>
        <v/>
      </c>
      <c r="E49" s="24"/>
      <c r="F49" s="45"/>
      <c r="G49" s="45"/>
      <c r="H49" s="24"/>
      <c r="I49" s="25" t="str">
        <f>IFERROR(($D49/50-_xlfn.XLOOKUP($E49,$O$35:$O$43,$T$35:$T$43)*F49)/$P$9,"")</f>
        <v/>
      </c>
      <c r="J49" s="25" t="str">
        <f>IFERROR(_xlfn.XLOOKUP($E49,$O$35:$O$43,$T$35:$T$43)*G49/$P$9,"")</f>
        <v/>
      </c>
      <c r="K49" s="25" t="str">
        <f>IF(E49=$O$43,($D49/50-$T$43*$P$9)/$P$9,"")</f>
        <v/>
      </c>
      <c r="L49" s="25" t="str">
        <f>IFERROR(($D49/50-_xlfn.XLOOKUP($H49,$O$48:$O$62,$T$48:$T$62)*$P$14)/$P$9,"")</f>
        <v/>
      </c>
      <c r="M49" s="14">
        <f t="shared" si="0"/>
        <v>0</v>
      </c>
      <c r="O49" s="4" t="s">
        <v>61</v>
      </c>
      <c r="P49" s="4">
        <v>4.8309999999999999E-2</v>
      </c>
      <c r="Q49" s="4">
        <v>1.1690000000000001E-2</v>
      </c>
      <c r="R49" s="4"/>
      <c r="S49" s="4">
        <v>-2.9399999999999999E-2</v>
      </c>
      <c r="T49" s="8">
        <f>SUM(P49:S49)</f>
        <v>3.0599999999999999E-2</v>
      </c>
    </row>
    <row r="50" spans="2:20" ht="16.5" thickTop="1" thickBot="1" x14ac:dyDescent="0.3">
      <c r="B50" s="10" t="str">
        <f>IF('Importér data'!C61="type",'Importér data'!F61,"")</f>
        <v/>
      </c>
      <c r="C50" s="10">
        <f>'Importér data'!H61</f>
        <v>0</v>
      </c>
      <c r="D50" s="32" t="str">
        <f>IF('Importér data'!C61="type",'Importér data'!N61,"")</f>
        <v/>
      </c>
      <c r="E50" s="24"/>
      <c r="F50" s="45"/>
      <c r="G50" s="45"/>
      <c r="H50" s="24"/>
      <c r="I50" s="25" t="str">
        <f>IFERROR(($D50/50-_xlfn.XLOOKUP($E50,$O$35:$O$43,$T$35:$T$43)*F50)/$P$9,"")</f>
        <v/>
      </c>
      <c r="J50" s="25" t="str">
        <f>IFERROR(_xlfn.XLOOKUP($E50,$O$35:$O$43,$T$35:$T$43)*G50/$P$9,"")</f>
        <v/>
      </c>
      <c r="K50" s="25" t="str">
        <f>IF(E50=$O$43,($D50/50-$T$43*$P$9)/$P$9,"")</f>
        <v/>
      </c>
      <c r="L50" s="25" t="str">
        <f>IFERROR(($D50/50-_xlfn.XLOOKUP($H50,$O$48:$O$62,$T$48:$T$62)*$P$14)/$P$9,"")</f>
        <v/>
      </c>
      <c r="M50" s="14">
        <f t="shared" si="0"/>
        <v>0</v>
      </c>
      <c r="O50" s="4" t="s">
        <v>62</v>
      </c>
      <c r="P50" s="4">
        <v>0.49398999999999998</v>
      </c>
      <c r="Q50" s="4">
        <v>0.10567</v>
      </c>
      <c r="R50" s="4">
        <v>3.4000000000000002E-4</v>
      </c>
      <c r="S50" s="4">
        <v>-0.19750000000000001</v>
      </c>
      <c r="T50" s="8">
        <f>SUM(P50:S50)</f>
        <v>0.40249999999999997</v>
      </c>
    </row>
    <row r="51" spans="2:20" ht="16.5" thickTop="1" thickBot="1" x14ac:dyDescent="0.3">
      <c r="B51" s="10" t="str">
        <f>IF('Importér data'!C62="type",'Importér data'!F62,"")</f>
        <v/>
      </c>
      <c r="C51" s="10">
        <f>'Importér data'!H62</f>
        <v>0</v>
      </c>
      <c r="D51" s="32" t="str">
        <f>IF('Importér data'!C62="type",'Importér data'!N62,"")</f>
        <v/>
      </c>
      <c r="E51" s="24"/>
      <c r="F51" s="45"/>
      <c r="G51" s="45"/>
      <c r="H51" s="24"/>
      <c r="I51" s="25" t="str">
        <f>IFERROR(($D51/50-_xlfn.XLOOKUP($E51,$O$35:$O$43,$T$35:$T$43)*F51)/$P$9,"")</f>
        <v/>
      </c>
      <c r="J51" s="25" t="str">
        <f>IFERROR(_xlfn.XLOOKUP($E51,$O$35:$O$43,$T$35:$T$43)*G51/$P$9,"")</f>
        <v/>
      </c>
      <c r="K51" s="25" t="str">
        <f>IF(E51=$O$43,($D51/50-$T$43*$P$9)/$P$9,"")</f>
        <v/>
      </c>
      <c r="L51" s="25" t="str">
        <f>IFERROR(($D51/50-_xlfn.XLOOKUP($H51,$O$48:$O$62,$T$48:$T$62)*$P$14)/$P$9,"")</f>
        <v/>
      </c>
      <c r="M51" s="14">
        <f t="shared" si="0"/>
        <v>0</v>
      </c>
      <c r="O51" s="4" t="s">
        <v>63</v>
      </c>
      <c r="P51" s="4">
        <v>4.1399999999999999E-2</v>
      </c>
      <c r="Q51" s="4">
        <v>4.8599999999999997E-2</v>
      </c>
      <c r="R51" s="4"/>
      <c r="S51" s="4">
        <v>-2.0500000000000001E-2</v>
      </c>
      <c r="T51" s="8">
        <f>SUM(P51:S51)</f>
        <v>6.9499999999999992E-2</v>
      </c>
    </row>
    <row r="52" spans="2:20" ht="16.5" thickTop="1" thickBot="1" x14ac:dyDescent="0.3">
      <c r="B52" s="10" t="str">
        <f>IF('Importér data'!C63="type",'Importér data'!F63,"")</f>
        <v/>
      </c>
      <c r="C52" s="10">
        <f>'Importér data'!H63</f>
        <v>0</v>
      </c>
      <c r="D52" s="32" t="str">
        <f>IF('Importér data'!C63="type",'Importér data'!N63,"")</f>
        <v/>
      </c>
      <c r="E52" s="24"/>
      <c r="F52" s="45"/>
      <c r="G52" s="45"/>
      <c r="H52" s="24"/>
      <c r="I52" s="25" t="str">
        <f>IFERROR(($D52/50-_xlfn.XLOOKUP($E52,$O$35:$O$43,$T$35:$T$43)*F52)/$P$9,"")</f>
        <v/>
      </c>
      <c r="J52" s="25" t="str">
        <f>IFERROR(_xlfn.XLOOKUP($E52,$O$35:$O$43,$T$35:$T$43)*G52/$P$9,"")</f>
        <v/>
      </c>
      <c r="K52" s="25" t="str">
        <f>IF(E52=$O$43,($D52/50-$T$43*$P$9)/$P$9,"")</f>
        <v/>
      </c>
      <c r="L52" s="25" t="str">
        <f>IFERROR(($D52/50-_xlfn.XLOOKUP($H52,$O$48:$O$62,$T$48:$T$62)*$P$14)/$P$9,"")</f>
        <v/>
      </c>
      <c r="M52" s="14">
        <f t="shared" si="0"/>
        <v>0</v>
      </c>
      <c r="O52" s="4" t="s">
        <v>64</v>
      </c>
      <c r="P52" s="4">
        <v>2.4400000000000002E-2</v>
      </c>
      <c r="Q52" s="4">
        <v>1.5599999999999999E-2</v>
      </c>
      <c r="R52" s="4"/>
      <c r="S52" s="4">
        <v>-1.23E-2</v>
      </c>
      <c r="T52" s="8">
        <f>SUM(P52:S52)</f>
        <v>2.7700000000000002E-2</v>
      </c>
    </row>
    <row r="53" spans="2:20" ht="16.5" thickTop="1" thickBot="1" x14ac:dyDescent="0.3">
      <c r="B53" s="10" t="str">
        <f>IF('Importér data'!C64="type",'Importér data'!F64,"")</f>
        <v/>
      </c>
      <c r="C53" s="10">
        <f>'Importér data'!H64</f>
        <v>0</v>
      </c>
      <c r="D53" s="32" t="str">
        <f>IF('Importér data'!C64="type",'Importér data'!N64,"")</f>
        <v/>
      </c>
      <c r="E53" s="24"/>
      <c r="F53" s="45"/>
      <c r="G53" s="45"/>
      <c r="H53" s="24"/>
      <c r="I53" s="25" t="str">
        <f>IFERROR(($D53/50-_xlfn.XLOOKUP($E53,$O$35:$O$43,$T$35:$T$43)*F53)/$P$9,"")</f>
        <v/>
      </c>
      <c r="J53" s="25" t="str">
        <f>IFERROR(_xlfn.XLOOKUP($E53,$O$35:$O$43,$T$35:$T$43)*G53/$P$9,"")</f>
        <v/>
      </c>
      <c r="K53" s="25" t="str">
        <f>IF(E53=$O$43,($D53/50-$T$43*$P$9)/$P$9,"")</f>
        <v/>
      </c>
      <c r="L53" s="25" t="str">
        <f>IFERROR(($D53/50-_xlfn.XLOOKUP($H53,$O$48:$O$62,$T$48:$T$62)*$P$14)/$P$9,"")</f>
        <v/>
      </c>
      <c r="M53" s="14">
        <f t="shared" si="0"/>
        <v>0</v>
      </c>
      <c r="O53" s="4" t="s">
        <v>65</v>
      </c>
      <c r="P53" s="4">
        <v>0.44844000000000001</v>
      </c>
      <c r="Q53" s="4">
        <v>6.4100000000000004E-2</v>
      </c>
      <c r="R53" s="4">
        <v>2.7E-4</v>
      </c>
      <c r="S53" s="4">
        <v>-0.20349999999999999</v>
      </c>
      <c r="T53" s="8">
        <f>SUM(P53:S53)</f>
        <v>0.30930999999999997</v>
      </c>
    </row>
    <row r="54" spans="2:20" ht="16.5" thickTop="1" thickBot="1" x14ac:dyDescent="0.3">
      <c r="B54" s="10" t="str">
        <f>IF('Importér data'!C65="type",'Importér data'!F65,"")</f>
        <v/>
      </c>
      <c r="C54" s="10">
        <f>'Importér data'!H65</f>
        <v>0</v>
      </c>
      <c r="D54" s="32" t="str">
        <f>IF('Importér data'!C65="type",'Importér data'!N65,"")</f>
        <v/>
      </c>
      <c r="E54" s="24"/>
      <c r="F54" s="45"/>
      <c r="G54" s="45"/>
      <c r="H54" s="24"/>
      <c r="I54" s="25" t="str">
        <f>IFERROR(($D54/50-_xlfn.XLOOKUP($E54,$O$35:$O$43,$T$35:$T$43)*F54)/$P$9,"")</f>
        <v/>
      </c>
      <c r="J54" s="25" t="str">
        <f>IFERROR(_xlfn.XLOOKUP($E54,$O$35:$O$43,$T$35:$T$43)*G54/$P$9,"")</f>
        <v/>
      </c>
      <c r="K54" s="25" t="str">
        <f>IF(E54=$O$43,($D54/50-$T$43*$P$9)/$P$9,"")</f>
        <v/>
      </c>
      <c r="L54" s="25" t="str">
        <f>IFERROR(($D54/50-_xlfn.XLOOKUP($H54,$O$48:$O$62,$T$48:$T$62)*$P$14)/$P$9,"")</f>
        <v/>
      </c>
      <c r="M54" s="14">
        <f t="shared" si="0"/>
        <v>0</v>
      </c>
      <c r="O54" s="4" t="s">
        <v>66</v>
      </c>
      <c r="P54" s="4">
        <v>5.3999999999999999E-2</v>
      </c>
      <c r="Q54" s="4">
        <v>6.6000000000000003E-2</v>
      </c>
      <c r="R54" s="4"/>
      <c r="S54" s="4">
        <v>-3.2399999999999998E-2</v>
      </c>
      <c r="T54" s="8">
        <f>SUM(P54:S54)</f>
        <v>8.7599999999999997E-2</v>
      </c>
    </row>
    <row r="55" spans="2:20" ht="16.5" thickTop="1" thickBot="1" x14ac:dyDescent="0.3">
      <c r="B55" s="10" t="str">
        <f>IF('Importér data'!C66="type",'Importér data'!F66,"")</f>
        <v/>
      </c>
      <c r="C55" s="10">
        <f>'Importér data'!H66</f>
        <v>0</v>
      </c>
      <c r="D55" s="32" t="str">
        <f>IF('Importér data'!C66="type",'Importér data'!N66,"")</f>
        <v/>
      </c>
      <c r="E55" s="24"/>
      <c r="F55" s="45"/>
      <c r="G55" s="45"/>
      <c r="H55" s="24"/>
      <c r="I55" s="25" t="str">
        <f>IFERROR(($D55/50-_xlfn.XLOOKUP($E55,$O$35:$O$43,$T$35:$T$43)*F55)/$P$9,"")</f>
        <v/>
      </c>
      <c r="J55" s="25" t="str">
        <f>IFERROR(_xlfn.XLOOKUP($E55,$O$35:$O$43,$T$35:$T$43)*G55/$P$9,"")</f>
        <v/>
      </c>
      <c r="K55" s="25" t="str">
        <f>IF(E55=$O$43,($D55/50-$T$43*$P$9)/$P$9,"")</f>
        <v/>
      </c>
      <c r="L55" s="25" t="str">
        <f>IFERROR(($D55/50-_xlfn.XLOOKUP($H55,$O$48:$O$62,$T$48:$T$62)*$P$14)/$P$9,"")</f>
        <v/>
      </c>
      <c r="M55" s="14">
        <f t="shared" si="0"/>
        <v>0</v>
      </c>
      <c r="O55" s="4" t="s">
        <v>67</v>
      </c>
      <c r="P55" s="4">
        <v>5.2200000000000003E-2</v>
      </c>
      <c r="Q55" s="4">
        <v>7.7999999999999996E-3</v>
      </c>
      <c r="R55" s="4"/>
      <c r="S55" s="4">
        <v>-2.8199999999999999E-2</v>
      </c>
      <c r="T55" s="8">
        <f>SUM(P55:S55)</f>
        <v>3.1800000000000009E-2</v>
      </c>
    </row>
    <row r="56" spans="2:20" ht="16.5" thickTop="1" thickBot="1" x14ac:dyDescent="0.3">
      <c r="B56" s="10" t="str">
        <f>IF('Importér data'!C67="type",'Importér data'!F67,"")</f>
        <v/>
      </c>
      <c r="C56" s="10">
        <f>'Importér data'!H67</f>
        <v>0</v>
      </c>
      <c r="D56" s="32" t="str">
        <f>IF('Importér data'!C67="type",'Importér data'!N67,"")</f>
        <v/>
      </c>
      <c r="E56" s="24"/>
      <c r="F56" s="45"/>
      <c r="G56" s="45"/>
      <c r="H56" s="24"/>
      <c r="I56" s="25" t="str">
        <f>IFERROR(($D56/50-_xlfn.XLOOKUP($E56,$O$35:$O$43,$T$35:$T$43)*F56)/$P$9,"")</f>
        <v/>
      </c>
      <c r="J56" s="25" t="str">
        <f>IFERROR(_xlfn.XLOOKUP($E56,$O$35:$O$43,$T$35:$T$43)*G56/$P$9,"")</f>
        <v/>
      </c>
      <c r="K56" s="25" t="str">
        <f>IF(E56=$O$43,($D56/50-$T$43*$P$9)/$P$9,"")</f>
        <v/>
      </c>
      <c r="L56" s="25" t="str">
        <f>IFERROR(($D56/50-_xlfn.XLOOKUP($H56,$O$48:$O$62,$T$48:$T$62)*$P$14)/$P$9,"")</f>
        <v/>
      </c>
      <c r="M56" s="14">
        <f t="shared" si="0"/>
        <v>0</v>
      </c>
      <c r="O56" s="4" t="s">
        <v>68</v>
      </c>
      <c r="P56" s="4">
        <v>0.4335</v>
      </c>
      <c r="Q56" s="4">
        <v>7.6499999999999999E-2</v>
      </c>
      <c r="R56" s="4"/>
      <c r="S56" s="4">
        <v>-0.16830000000000001</v>
      </c>
      <c r="T56" s="8">
        <f>SUM(P56:S56)</f>
        <v>0.3417</v>
      </c>
    </row>
    <row r="57" spans="2:20" ht="16.5" thickTop="1" thickBot="1" x14ac:dyDescent="0.3">
      <c r="B57" s="10" t="str">
        <f>IF('Importér data'!C68="type",'Importér data'!F68,"")</f>
        <v/>
      </c>
      <c r="C57" s="10">
        <f>'Importér data'!H68</f>
        <v>0</v>
      </c>
      <c r="D57" s="32" t="str">
        <f>IF('Importér data'!C68="type",'Importér data'!N68,"")</f>
        <v/>
      </c>
      <c r="E57" s="24"/>
      <c r="F57" s="45"/>
      <c r="G57" s="45"/>
      <c r="H57" s="24"/>
      <c r="I57" s="25" t="str">
        <f>IFERROR(($D57/50-_xlfn.XLOOKUP($E57,$O$35:$O$43,$T$35:$T$43)*F57)/$P$9,"")</f>
        <v/>
      </c>
      <c r="J57" s="25" t="str">
        <f>IFERROR(_xlfn.XLOOKUP($E57,$O$35:$O$43,$T$35:$T$43)*G57/$P$9,"")</f>
        <v/>
      </c>
      <c r="K57" s="25" t="str">
        <f>IF(E57=$O$43,($D57/50-$T$43*$P$9)/$P$9,"")</f>
        <v/>
      </c>
      <c r="L57" s="25" t="str">
        <f>IFERROR(($D57/50-_xlfn.XLOOKUP($H57,$O$48:$O$62,$T$48:$T$62)*$P$14)/$P$9,"")</f>
        <v/>
      </c>
      <c r="M57" s="14">
        <f t="shared" si="0"/>
        <v>0</v>
      </c>
      <c r="O57" s="4" t="s">
        <v>69</v>
      </c>
      <c r="P57" s="4">
        <v>1.7999999999999999E-2</v>
      </c>
      <c r="Q57" s="4">
        <v>2.1999999999999999E-2</v>
      </c>
      <c r="R57" s="4"/>
      <c r="S57" s="4">
        <v>-1.0800000000000001E-2</v>
      </c>
      <c r="T57" s="8">
        <f>SUM(P57:S57)</f>
        <v>2.9199999999999993E-2</v>
      </c>
    </row>
    <row r="58" spans="2:20" ht="16.5" thickTop="1" thickBot="1" x14ac:dyDescent="0.3">
      <c r="B58" s="10" t="str">
        <f>IF('Importér data'!C69="type",'Importér data'!F69,"")</f>
        <v/>
      </c>
      <c r="C58" s="10">
        <f>'Importér data'!H69</f>
        <v>0</v>
      </c>
      <c r="D58" s="32" t="str">
        <f>IF('Importér data'!C69="type",'Importér data'!N69,"")</f>
        <v/>
      </c>
      <c r="E58" s="24"/>
      <c r="F58" s="45"/>
      <c r="G58" s="45"/>
      <c r="H58" s="24"/>
      <c r="I58" s="25" t="str">
        <f>IFERROR(($D58/50-_xlfn.XLOOKUP($E58,$O$35:$O$43,$T$35:$T$43)*F58)/$P$9,"")</f>
        <v/>
      </c>
      <c r="J58" s="25" t="str">
        <f>IFERROR(_xlfn.XLOOKUP($E58,$O$35:$O$43,$T$35:$T$43)*G58/$P$9,"")</f>
        <v/>
      </c>
      <c r="K58" s="25" t="str">
        <f>IF(E58=$O$43,($D58/50-$T$43*$P$9)/$P$9,"")</f>
        <v/>
      </c>
      <c r="L58" s="25" t="str">
        <f>IFERROR(($D58/50-_xlfn.XLOOKUP($H58,$O$48:$O$62,$T$48:$T$62)*$P$14)/$P$9,"")</f>
        <v/>
      </c>
      <c r="M58" s="14">
        <f t="shared" si="0"/>
        <v>0</v>
      </c>
      <c r="O58" s="4" t="s">
        <v>70</v>
      </c>
      <c r="P58" s="4">
        <v>4.8000000000000001E-2</v>
      </c>
      <c r="Q58" s="4">
        <v>1.2E-2</v>
      </c>
      <c r="R58" s="4"/>
      <c r="S58" s="4">
        <v>-1.9199999999999998E-2</v>
      </c>
      <c r="T58" s="8">
        <f>SUM(P58:S58)</f>
        <v>4.0800000000000003E-2</v>
      </c>
    </row>
    <row r="59" spans="2:20" ht="31.5" thickTop="1" thickBot="1" x14ac:dyDescent="0.3">
      <c r="B59" s="10" t="str">
        <f>IF('Importér data'!C70="type",'Importér data'!F70,"")</f>
        <v/>
      </c>
      <c r="C59" s="10">
        <f>'Importér data'!H70</f>
        <v>0</v>
      </c>
      <c r="D59" s="32" t="str">
        <f>IF('Importér data'!C70="type",'Importér data'!N70,"")</f>
        <v/>
      </c>
      <c r="E59" s="24"/>
      <c r="F59" s="45"/>
      <c r="G59" s="45"/>
      <c r="H59" s="24"/>
      <c r="I59" s="25" t="str">
        <f>IFERROR(($D59/50-_xlfn.XLOOKUP($E59,$O$35:$O$43,$T$35:$T$43)*F59)/$P$9,"")</f>
        <v/>
      </c>
      <c r="J59" s="25" t="str">
        <f>IFERROR(_xlfn.XLOOKUP($E59,$O$35:$O$43,$T$35:$T$43)*G59/$P$9,"")</f>
        <v/>
      </c>
      <c r="K59" s="25" t="str">
        <f>IF(E59=$O$43,($D59/50-$T$43*$P$9)/$P$9,"")</f>
        <v/>
      </c>
      <c r="L59" s="25" t="str">
        <f>IFERROR(($D59/50-_xlfn.XLOOKUP($H59,$O$48:$O$62,$T$48:$T$62)*$P$14)/$P$9,"")</f>
        <v/>
      </c>
      <c r="M59" s="14">
        <f t="shared" si="0"/>
        <v>0</v>
      </c>
      <c r="O59" s="4" t="s">
        <v>71</v>
      </c>
      <c r="P59" s="4">
        <v>0.72240000000000004</v>
      </c>
      <c r="Q59" s="4">
        <v>0.1176</v>
      </c>
      <c r="R59" s="4"/>
      <c r="S59" s="4">
        <v>-0.3528</v>
      </c>
      <c r="T59" s="8">
        <f>SUM(P59:S59)</f>
        <v>0.48720000000000008</v>
      </c>
    </row>
    <row r="60" spans="2:20" ht="16.5" thickTop="1" thickBot="1" x14ac:dyDescent="0.3">
      <c r="B60" s="10" t="str">
        <f>IF('Importér data'!C71="type",'Importér data'!F71,"")</f>
        <v/>
      </c>
      <c r="C60" s="10">
        <f>'Importér data'!H71</f>
        <v>0</v>
      </c>
      <c r="D60" s="32" t="str">
        <f>IF('Importér data'!C71="type",'Importér data'!N71,"")</f>
        <v/>
      </c>
      <c r="E60" s="24"/>
      <c r="F60" s="45"/>
      <c r="G60" s="45"/>
      <c r="H60" s="24"/>
      <c r="I60" s="25" t="str">
        <f>IFERROR(($D60/50-_xlfn.XLOOKUP($E60,$O$35:$O$43,$T$35:$T$43)*F60)/$P$9,"")</f>
        <v/>
      </c>
      <c r="J60" s="25" t="str">
        <f>IFERROR(_xlfn.XLOOKUP($E60,$O$35:$O$43,$T$35:$T$43)*G60/$P$9,"")</f>
        <v/>
      </c>
      <c r="K60" s="25" t="str">
        <f>IF(E60=$O$43,($D60/50-$T$43*$P$9)/$P$9,"")</f>
        <v/>
      </c>
      <c r="L60" s="25" t="str">
        <f>IFERROR(($D60/50-_xlfn.XLOOKUP($H60,$O$48:$O$62,$T$48:$T$62)*$P$14)/$P$9,"")</f>
        <v/>
      </c>
      <c r="M60" s="14">
        <f t="shared" si="0"/>
        <v>0</v>
      </c>
      <c r="O60" s="4" t="s">
        <v>72</v>
      </c>
      <c r="P60" s="4">
        <v>2.2499999999999999E-2</v>
      </c>
      <c r="Q60" s="4">
        <v>2.75E-2</v>
      </c>
      <c r="R60" s="4"/>
      <c r="S60" s="4">
        <v>-1.35E-2</v>
      </c>
      <c r="T60" s="8">
        <f>SUM(P60:S60)</f>
        <v>3.6500000000000005E-2</v>
      </c>
    </row>
    <row r="61" spans="2:20" ht="16.5" thickTop="1" thickBot="1" x14ac:dyDescent="0.3">
      <c r="B61" s="10" t="str">
        <f>IF('Importér data'!C72="type",'Importér data'!F72,"")</f>
        <v/>
      </c>
      <c r="C61" s="10">
        <f>'Importér data'!H72</f>
        <v>0</v>
      </c>
      <c r="D61" s="32" t="str">
        <f>IF('Importér data'!C72="type",'Importér data'!N72,"")</f>
        <v/>
      </c>
      <c r="E61" s="24"/>
      <c r="F61" s="45"/>
      <c r="G61" s="45"/>
      <c r="H61" s="24"/>
      <c r="I61" s="25" t="str">
        <f>IFERROR(($D61/50-_xlfn.XLOOKUP($E61,$O$35:$O$43,$T$35:$T$43)*F61)/$P$9,"")</f>
        <v/>
      </c>
      <c r="J61" s="25" t="str">
        <f>IFERROR(_xlfn.XLOOKUP($E61,$O$35:$O$43,$T$35:$T$43)*G61/$P$9,"")</f>
        <v/>
      </c>
      <c r="K61" s="25" t="str">
        <f>IF(E61=$O$43,($D61/50-$T$43*$P$9)/$P$9,"")</f>
        <v/>
      </c>
      <c r="L61" s="25" t="str">
        <f>IFERROR(($D61/50-_xlfn.XLOOKUP($H61,$O$48:$O$62,$T$48:$T$62)*$P$14)/$P$9,"")</f>
        <v/>
      </c>
      <c r="M61" s="14">
        <f t="shared" si="0"/>
        <v>0</v>
      </c>
      <c r="O61" s="4" t="s">
        <v>73</v>
      </c>
      <c r="P61" s="4">
        <v>6.4000000000000001E-2</v>
      </c>
      <c r="Q61" s="4">
        <v>1.6E-2</v>
      </c>
      <c r="R61" s="4"/>
      <c r="S61" s="4">
        <v>-2.5600000000000001E-2</v>
      </c>
      <c r="T61" s="8">
        <f>SUM(P61:S61)</f>
        <v>5.4400000000000004E-2</v>
      </c>
    </row>
    <row r="62" spans="2:20" ht="16.5" thickTop="1" thickBot="1" x14ac:dyDescent="0.3">
      <c r="B62" s="10" t="str">
        <f>IF('Importér data'!C73="type",'Importér data'!F73,"")</f>
        <v/>
      </c>
      <c r="C62" s="10">
        <f>'Importér data'!H73</f>
        <v>0</v>
      </c>
      <c r="D62" s="32" t="str">
        <f>IF('Importér data'!C73="type",'Importér data'!N73,"")</f>
        <v/>
      </c>
      <c r="E62" s="24"/>
      <c r="F62" s="45"/>
      <c r="G62" s="45"/>
      <c r="H62" s="24"/>
      <c r="I62" s="25" t="str">
        <f>IFERROR(($D62/50-_xlfn.XLOOKUP($E62,$O$35:$O$43,$T$35:$T$43)*F62)/$P$9,"")</f>
        <v/>
      </c>
      <c r="J62" s="25" t="str">
        <f>IFERROR(_xlfn.XLOOKUP($E62,$O$35:$O$43,$T$35:$T$43)*G62/$P$9,"")</f>
        <v/>
      </c>
      <c r="K62" s="25" t="str">
        <f>IF(E62=$O$43,($D62/50-$T$43*$P$9)/$P$9,"")</f>
        <v/>
      </c>
      <c r="L62" s="25" t="str">
        <f>IFERROR(($D62/50-_xlfn.XLOOKUP($H62,$O$48:$O$62,$T$48:$T$62)*$P$14)/$P$9,"")</f>
        <v/>
      </c>
      <c r="M62" s="14">
        <f t="shared" si="0"/>
        <v>0</v>
      </c>
      <c r="O62" s="4" t="s">
        <v>74</v>
      </c>
      <c r="P62" s="4">
        <v>0.93740000000000001</v>
      </c>
      <c r="Q62" s="4">
        <v>0.15260000000000001</v>
      </c>
      <c r="R62" s="4"/>
      <c r="S62" s="4">
        <v>-0.45779999999999998</v>
      </c>
      <c r="T62" s="8">
        <f>SUM(P62:S62)</f>
        <v>0.6322000000000001</v>
      </c>
    </row>
    <row r="63" spans="2:20" ht="15.75" thickTop="1" x14ac:dyDescent="0.25">
      <c r="B63" s="10" t="str">
        <f>IF('Importér data'!C74="type",'Importér data'!F74,"")</f>
        <v/>
      </c>
      <c r="C63" s="10">
        <f>'Importér data'!H74</f>
        <v>0</v>
      </c>
      <c r="D63" s="32" t="str">
        <f>IF('Importér data'!C74="type",'Importér data'!N74,"")</f>
        <v/>
      </c>
      <c r="E63" s="24"/>
      <c r="F63" s="45"/>
      <c r="G63" s="45"/>
      <c r="H63" s="24"/>
      <c r="I63" s="25" t="str">
        <f>IFERROR(($D63/50-_xlfn.XLOOKUP($E63,$O$35:$O$43,$T$35:$T$43)*F63)/$P$9,"")</f>
        <v/>
      </c>
      <c r="J63" s="25" t="str">
        <f>IFERROR(_xlfn.XLOOKUP($E63,$O$35:$O$43,$T$35:$T$43)*G63/$P$9,"")</f>
        <v/>
      </c>
      <c r="K63" s="25" t="str">
        <f>IF(E63=$O$43,($D63/50-$T$43*$P$9)/$P$9,"")</f>
        <v/>
      </c>
      <c r="L63" s="25" t="str">
        <f>IFERROR(($D63/50-_xlfn.XLOOKUP($H63,$O$48:$O$62,$T$48:$T$62)*$P$14)/$P$9,"")</f>
        <v/>
      </c>
      <c r="M63" s="14">
        <f t="shared" si="0"/>
        <v>0</v>
      </c>
    </row>
    <row r="64" spans="2:20" x14ac:dyDescent="0.25">
      <c r="B64" s="10" t="str">
        <f>IF('Importér data'!C75="type",'Importér data'!F75,"")</f>
        <v/>
      </c>
      <c r="C64" s="10">
        <f>'Importér data'!H75</f>
        <v>0</v>
      </c>
      <c r="D64" s="32" t="str">
        <f>IF('Importér data'!C75="type",'Importér data'!N75,"")</f>
        <v/>
      </c>
      <c r="E64" s="24"/>
      <c r="F64" s="45"/>
      <c r="G64" s="45"/>
      <c r="H64" s="24"/>
      <c r="I64" s="25" t="str">
        <f>IFERROR(($D64/50-_xlfn.XLOOKUP($E64,$O$35:$O$43,$T$35:$T$43)*F64)/$P$9,"")</f>
        <v/>
      </c>
      <c r="J64" s="25" t="str">
        <f>IFERROR(_xlfn.XLOOKUP($E64,$O$35:$O$43,$T$35:$T$43)*G64/$P$9,"")</f>
        <v/>
      </c>
      <c r="K64" s="25" t="str">
        <f>IF(E64=$O$43,($D64/50-$T$43*$P$9)/$P$9,"")</f>
        <v/>
      </c>
      <c r="L64" s="25" t="str">
        <f>IFERROR(($D64/50-_xlfn.XLOOKUP($H64,$O$48:$O$62,$T$48:$T$62)*$P$14)/$P$9,"")</f>
        <v/>
      </c>
      <c r="M64" s="14">
        <f t="shared" si="0"/>
        <v>0</v>
      </c>
      <c r="O64" s="3" t="s">
        <v>3</v>
      </c>
    </row>
    <row r="65" spans="2:15" x14ac:dyDescent="0.25">
      <c r="B65" s="10" t="str">
        <f>IF('Importér data'!C76="type",'Importér data'!F76,"")</f>
        <v/>
      </c>
      <c r="C65" s="10">
        <f>'Importér data'!H76</f>
        <v>0</v>
      </c>
      <c r="D65" s="32" t="str">
        <f>IF('Importér data'!C76="type",'Importér data'!N76,"")</f>
        <v/>
      </c>
      <c r="E65" s="24"/>
      <c r="F65" s="45"/>
      <c r="G65" s="45"/>
      <c r="H65" s="24"/>
      <c r="I65" s="25" t="str">
        <f>IFERROR(($D65/50-_xlfn.XLOOKUP($E65,$O$35:$O$43,$T$35:$T$43)*F65)/$P$9,"")</f>
        <v/>
      </c>
      <c r="J65" s="25" t="str">
        <f>IFERROR(_xlfn.XLOOKUP($E65,$O$35:$O$43,$T$35:$T$43)*G65/$P$9,"")</f>
        <v/>
      </c>
      <c r="K65" s="25" t="str">
        <f>IF(E65=$O$43,($D65/50-$T$43*$P$9)/$P$9,"")</f>
        <v/>
      </c>
      <c r="L65" s="25" t="str">
        <f>IFERROR(($D65/50-_xlfn.XLOOKUP($H65,$O$48:$O$62,$T$48:$T$62)*$P$14)/$P$9,"")</f>
        <v/>
      </c>
      <c r="M65" s="14">
        <f t="shared" si="0"/>
        <v>0</v>
      </c>
      <c r="O65" s="5" t="s">
        <v>5</v>
      </c>
    </row>
    <row r="66" spans="2:15" x14ac:dyDescent="0.25">
      <c r="B66" s="10" t="str">
        <f>IF('Importér data'!C77="type",'Importér data'!F77,"")</f>
        <v/>
      </c>
      <c r="C66" s="10">
        <f>'Importér data'!H77</f>
        <v>0</v>
      </c>
      <c r="D66" s="32" t="str">
        <f>IF('Importér data'!C77="type",'Importér data'!N77,"")</f>
        <v/>
      </c>
      <c r="E66" s="24"/>
      <c r="F66" s="45"/>
      <c r="G66" s="45"/>
      <c r="H66" s="24"/>
      <c r="I66" s="25" t="str">
        <f>IFERROR(($D66/50-_xlfn.XLOOKUP($E66,$O$35:$O$43,$T$35:$T$43)*F66)/$P$9,"")</f>
        <v/>
      </c>
      <c r="J66" s="25" t="str">
        <f>IFERROR(_xlfn.XLOOKUP($E66,$O$35:$O$43,$T$35:$T$43)*G66/$P$9,"")</f>
        <v/>
      </c>
      <c r="K66" s="25" t="str">
        <f>IF(E66=$O$43,($D66/50-$T$43*$P$9)/$P$9,"")</f>
        <v/>
      </c>
      <c r="L66" s="25" t="str">
        <f>IFERROR(($D66/50-_xlfn.XLOOKUP($H66,$O$48:$O$62,$T$48:$T$62)*$P$14)/$P$9,"")</f>
        <v/>
      </c>
      <c r="M66" s="14">
        <f t="shared" si="0"/>
        <v>0</v>
      </c>
    </row>
    <row r="67" spans="2:15" x14ac:dyDescent="0.25">
      <c r="B67" s="10" t="str">
        <f>IF('Importér data'!C78="type",'Importér data'!F78,"")</f>
        <v/>
      </c>
      <c r="C67" s="10">
        <f>'Importér data'!H78</f>
        <v>0</v>
      </c>
      <c r="D67" s="32" t="str">
        <f>IF('Importér data'!C78="type",'Importér data'!N78,"")</f>
        <v/>
      </c>
      <c r="E67" s="24"/>
      <c r="F67" s="45"/>
      <c r="G67" s="45"/>
      <c r="H67" s="24"/>
      <c r="I67" s="25" t="str">
        <f>IFERROR(($D67/50-_xlfn.XLOOKUP($E67,$O$35:$O$43,$T$35:$T$43)*F67)/$P$9,"")</f>
        <v/>
      </c>
      <c r="J67" s="25" t="str">
        <f>IFERROR(_xlfn.XLOOKUP($E67,$O$35:$O$43,$T$35:$T$43)*G67/$P$9,"")</f>
        <v/>
      </c>
      <c r="K67" s="25" t="str">
        <f>IF(E67=$O$43,($D67/50-$T$43*$P$9)/$P$9,"")</f>
        <v/>
      </c>
      <c r="L67" s="25" t="str">
        <f>IFERROR(($D67/50-_xlfn.XLOOKUP($H67,$O$48:$O$62,$T$48:$T$62)*$P$14)/$P$9,"")</f>
        <v/>
      </c>
      <c r="M67" s="14">
        <f t="shared" si="0"/>
        <v>0</v>
      </c>
    </row>
    <row r="68" spans="2:15" x14ac:dyDescent="0.25">
      <c r="B68" s="10" t="str">
        <f>IF('Importér data'!C79="type",'Importér data'!F79,"")</f>
        <v/>
      </c>
      <c r="C68" s="10">
        <f>'Importér data'!H79</f>
        <v>0</v>
      </c>
      <c r="D68" s="32" t="str">
        <f>IF('Importér data'!C79="type",'Importér data'!N79,"")</f>
        <v/>
      </c>
      <c r="E68" s="24"/>
      <c r="F68" s="45"/>
      <c r="G68" s="45"/>
      <c r="H68" s="24"/>
      <c r="I68" s="25" t="str">
        <f>IFERROR(($D68/50-_xlfn.XLOOKUP($E68,$O$35:$O$43,$T$35:$T$43)*F68)/$P$9,"")</f>
        <v/>
      </c>
      <c r="J68" s="25" t="str">
        <f>IFERROR(_xlfn.XLOOKUP($E68,$O$35:$O$43,$T$35:$T$43)*G68/$P$9,"")</f>
        <v/>
      </c>
      <c r="K68" s="25" t="str">
        <f>IF(E68=$O$43,($D68/50-$T$43*$P$9)/$P$9,"")</f>
        <v/>
      </c>
      <c r="L68" s="25" t="str">
        <f>IFERROR(($D68/50-_xlfn.XLOOKUP($H68,$O$48:$O$62,$T$48:$T$62)*$P$14)/$P$9,"")</f>
        <v/>
      </c>
      <c r="M68" s="14">
        <f t="shared" si="0"/>
        <v>0</v>
      </c>
    </row>
    <row r="69" spans="2:15" x14ac:dyDescent="0.25">
      <c r="B69" s="10" t="str">
        <f>IF('Importér data'!C80="type",'Importér data'!F80,"")</f>
        <v/>
      </c>
      <c r="C69" s="10">
        <f>'Importér data'!H80</f>
        <v>0</v>
      </c>
      <c r="D69" s="32" t="str">
        <f>IF('Importér data'!C80="type",'Importér data'!N80,"")</f>
        <v/>
      </c>
      <c r="E69" s="24"/>
      <c r="F69" s="45"/>
      <c r="G69" s="45"/>
      <c r="H69" s="24"/>
      <c r="I69" s="25" t="str">
        <f>IFERROR(($D69/50-_xlfn.XLOOKUP($E69,$O$35:$O$43,$T$35:$T$43)*F69)/$P$9,"")</f>
        <v/>
      </c>
      <c r="J69" s="25" t="str">
        <f>IFERROR(_xlfn.XLOOKUP($E69,$O$35:$O$43,$T$35:$T$43)*G69/$P$9,"")</f>
        <v/>
      </c>
      <c r="K69" s="25" t="str">
        <f>IF(E69=$O$43,($D69/50-$T$43*$P$9)/$P$9,"")</f>
        <v/>
      </c>
      <c r="L69" s="25" t="str">
        <f>IFERROR(($D69/50-_xlfn.XLOOKUP($H69,$O$48:$O$62,$T$48:$T$62)*$P$14)/$P$9,"")</f>
        <v/>
      </c>
      <c r="M69" s="14">
        <f t="shared" si="0"/>
        <v>0</v>
      </c>
    </row>
    <row r="70" spans="2:15" x14ac:dyDescent="0.25">
      <c r="B70" s="10" t="str">
        <f>IF('Importér data'!C81="type",'Importér data'!F81,"")</f>
        <v/>
      </c>
      <c r="C70" s="10">
        <f>'Importér data'!H81</f>
        <v>0</v>
      </c>
      <c r="D70" s="32" t="str">
        <f>IF('Importér data'!C81="type",'Importér data'!N81,"")</f>
        <v/>
      </c>
      <c r="E70" s="24"/>
      <c r="F70" s="45"/>
      <c r="G70" s="45"/>
      <c r="H70" s="24"/>
      <c r="I70" s="25" t="str">
        <f>IFERROR(($D70/50-_xlfn.XLOOKUP($E70,$O$35:$O$43,$T$35:$T$43)*F70)/$P$9,"")</f>
        <v/>
      </c>
      <c r="J70" s="25" t="str">
        <f>IFERROR(_xlfn.XLOOKUP($E70,$O$35:$O$43,$T$35:$T$43)*G70/$P$9,"")</f>
        <v/>
      </c>
      <c r="K70" s="25" t="str">
        <f>IF(E70=$O$43,($D70/50-$T$43*$P$9)/$P$9,"")</f>
        <v/>
      </c>
      <c r="L70" s="25" t="str">
        <f>IFERROR(($D70/50-_xlfn.XLOOKUP($H70,$O$48:$O$62,$T$48:$T$62)*$P$14)/$P$9,"")</f>
        <v/>
      </c>
      <c r="M70" s="14">
        <f t="shared" ref="M70:M133" si="1">SUM(I70:L70)</f>
        <v>0</v>
      </c>
    </row>
    <row r="71" spans="2:15" x14ac:dyDescent="0.25">
      <c r="B71" s="10" t="str">
        <f>IF('Importér data'!C82="type",'Importér data'!F82,"")</f>
        <v/>
      </c>
      <c r="C71" s="10">
        <f>'Importér data'!H82</f>
        <v>0</v>
      </c>
      <c r="D71" s="32" t="str">
        <f>IF('Importér data'!C82="type",'Importér data'!N82,"")</f>
        <v/>
      </c>
      <c r="E71" s="24"/>
      <c r="F71" s="45"/>
      <c r="G71" s="45"/>
      <c r="H71" s="24"/>
      <c r="I71" s="25" t="str">
        <f>IFERROR(($D71/50-_xlfn.XLOOKUP($E71,$O$35:$O$43,$T$35:$T$43)*F71)/$P$9,"")</f>
        <v/>
      </c>
      <c r="J71" s="25" t="str">
        <f>IFERROR(_xlfn.XLOOKUP($E71,$O$35:$O$43,$T$35:$T$43)*G71/$P$9,"")</f>
        <v/>
      </c>
      <c r="K71" s="25" t="str">
        <f>IF(E71=$O$43,($D71/50-$T$43*$P$9)/$P$9,"")</f>
        <v/>
      </c>
      <c r="L71" s="25" t="str">
        <f>IFERROR(($D71/50-_xlfn.XLOOKUP($H71,$O$48:$O$62,$T$48:$T$62)*$P$14)/$P$9,"")</f>
        <v/>
      </c>
      <c r="M71" s="14">
        <f t="shared" si="1"/>
        <v>0</v>
      </c>
      <c r="O71" t="s">
        <v>12</v>
      </c>
    </row>
    <row r="72" spans="2:15" x14ac:dyDescent="0.25">
      <c r="B72" s="10" t="str">
        <f>IF('Importér data'!C83="type",'Importér data'!F83,"")</f>
        <v/>
      </c>
      <c r="C72" s="10">
        <f>'Importér data'!H83</f>
        <v>0</v>
      </c>
      <c r="D72" s="32" t="str">
        <f>IF('Importér data'!C83="type",'Importér data'!N83,"")</f>
        <v/>
      </c>
      <c r="E72" s="24"/>
      <c r="F72" s="45"/>
      <c r="G72" s="45"/>
      <c r="H72" s="24"/>
      <c r="I72" s="25" t="str">
        <f>IFERROR(($D72/50-_xlfn.XLOOKUP($E72,$O$35:$O$43,$T$35:$T$43)*F72)/$P$9,"")</f>
        <v/>
      </c>
      <c r="J72" s="25" t="str">
        <f>IFERROR(_xlfn.XLOOKUP($E72,$O$35:$O$43,$T$35:$T$43)*G72/$P$9,"")</f>
        <v/>
      </c>
      <c r="K72" s="25" t="str">
        <f>IF(E72=$O$43,($D72/50-$T$43*$P$9)/$P$9,"")</f>
        <v/>
      </c>
      <c r="L72" s="25" t="str">
        <f>IFERROR(($D72/50-_xlfn.XLOOKUP($H72,$O$48:$O$62,$T$48:$T$62)*$P$14)/$P$9,"")</f>
        <v/>
      </c>
      <c r="M72" s="14">
        <f t="shared" si="1"/>
        <v>0</v>
      </c>
    </row>
    <row r="73" spans="2:15" x14ac:dyDescent="0.25">
      <c r="B73" s="10" t="str">
        <f>IF('Importér data'!C84="type",'Importér data'!F84,"")</f>
        <v/>
      </c>
      <c r="C73" s="10">
        <f>'Importér data'!H84</f>
        <v>0</v>
      </c>
      <c r="D73" s="32" t="str">
        <f>IF('Importér data'!C84="type",'Importér data'!N84,"")</f>
        <v/>
      </c>
      <c r="E73" s="24"/>
      <c r="F73" s="45"/>
      <c r="G73" s="45"/>
      <c r="H73" s="24"/>
      <c r="I73" s="25" t="str">
        <f>IFERROR(($D73/50-_xlfn.XLOOKUP($E73,$O$35:$O$43,$T$35:$T$43)*F73)/$P$9,"")</f>
        <v/>
      </c>
      <c r="J73" s="25" t="str">
        <f>IFERROR(_xlfn.XLOOKUP($E73,$O$35:$O$43,$T$35:$T$43)*G73/$P$9,"")</f>
        <v/>
      </c>
      <c r="K73" s="25" t="str">
        <f>IF(E73=$O$43,($D73/50-$T$43*$P$9)/$P$9,"")</f>
        <v/>
      </c>
      <c r="L73" s="25" t="str">
        <f>IFERROR(($D73/50-_xlfn.XLOOKUP($H73,$O$48:$O$62,$T$48:$T$62)*$P$14)/$P$9,"")</f>
        <v/>
      </c>
      <c r="M73" s="14">
        <f t="shared" si="1"/>
        <v>0</v>
      </c>
    </row>
    <row r="74" spans="2:15" x14ac:dyDescent="0.25">
      <c r="B74" s="10" t="str">
        <f>IF('Importér data'!C85="type",'Importér data'!F85,"")</f>
        <v/>
      </c>
      <c r="C74" s="10">
        <f>'Importér data'!H85</f>
        <v>0</v>
      </c>
      <c r="D74" s="32" t="str">
        <f>IF('Importér data'!C85="type",'Importér data'!N85,"")</f>
        <v/>
      </c>
      <c r="E74" s="24"/>
      <c r="F74" s="45"/>
      <c r="G74" s="45"/>
      <c r="H74" s="24"/>
      <c r="I74" s="25" t="str">
        <f>IFERROR(($D74/50-_xlfn.XLOOKUP($E74,$O$35:$O$43,$T$35:$T$43)*F74)/$P$9,"")</f>
        <v/>
      </c>
      <c r="J74" s="25" t="str">
        <f>IFERROR(_xlfn.XLOOKUP($E74,$O$35:$O$43,$T$35:$T$43)*G74/$P$9,"")</f>
        <v/>
      </c>
      <c r="K74" s="25" t="str">
        <f>IF(E74=$O$43,($D74/50-$T$43*$P$9)/$P$9,"")</f>
        <v/>
      </c>
      <c r="L74" s="25" t="str">
        <f>IFERROR(($D74/50-_xlfn.XLOOKUP($H74,$O$48:$O$62,$T$48:$T$62)*$P$14)/$P$9,"")</f>
        <v/>
      </c>
      <c r="M74" s="14">
        <f t="shared" si="1"/>
        <v>0</v>
      </c>
    </row>
    <row r="75" spans="2:15" x14ac:dyDescent="0.25">
      <c r="B75" s="10" t="str">
        <f>IF('Importér data'!C86="type",'Importér data'!F86,"")</f>
        <v/>
      </c>
      <c r="C75" s="10">
        <f>'Importér data'!H86</f>
        <v>0</v>
      </c>
      <c r="D75" s="32" t="str">
        <f>IF('Importér data'!C86="type",'Importér data'!N86,"")</f>
        <v/>
      </c>
      <c r="E75" s="24"/>
      <c r="F75" s="45"/>
      <c r="G75" s="45"/>
      <c r="H75" s="24"/>
      <c r="I75" s="25" t="str">
        <f>IFERROR(($D75/50-_xlfn.XLOOKUP($E75,$O$35:$O$43,$T$35:$T$43)*F75)/$P$9,"")</f>
        <v/>
      </c>
      <c r="J75" s="25" t="str">
        <f>IFERROR(_xlfn.XLOOKUP($E75,$O$35:$O$43,$T$35:$T$43)*G75/$P$9,"")</f>
        <v/>
      </c>
      <c r="K75" s="25" t="str">
        <f>IF(E75=$O$43,($D75/50-$T$43*$P$9)/$P$9,"")</f>
        <v/>
      </c>
      <c r="L75" s="25" t="str">
        <f>IFERROR(($D75/50-_xlfn.XLOOKUP($H75,$O$48:$O$62,$T$48:$T$62)*$P$14)/$P$9,"")</f>
        <v/>
      </c>
      <c r="M75" s="14">
        <f t="shared" si="1"/>
        <v>0</v>
      </c>
    </row>
    <row r="76" spans="2:15" x14ac:dyDescent="0.25">
      <c r="B76" s="10" t="str">
        <f>IF('Importér data'!C87="type",'Importér data'!F87,"")</f>
        <v/>
      </c>
      <c r="C76" s="10">
        <f>'Importér data'!H87</f>
        <v>0</v>
      </c>
      <c r="D76" s="32" t="str">
        <f>IF('Importér data'!C87="type",'Importér data'!N87,"")</f>
        <v/>
      </c>
      <c r="E76" s="24"/>
      <c r="F76" s="45"/>
      <c r="G76" s="45"/>
      <c r="H76" s="24"/>
      <c r="I76" s="25" t="str">
        <f>IFERROR(($D76/50-_xlfn.XLOOKUP($E76,$O$35:$O$43,$T$35:$T$43)*F76)/$P$9,"")</f>
        <v/>
      </c>
      <c r="J76" s="25" t="str">
        <f>IFERROR(_xlfn.XLOOKUP($E76,$O$35:$O$43,$T$35:$T$43)*G76/$P$9,"")</f>
        <v/>
      </c>
      <c r="K76" s="25" t="str">
        <f>IF(E76=$O$43,($D76/50-$T$43*$P$9)/$P$9,"")</f>
        <v/>
      </c>
      <c r="L76" s="25" t="str">
        <f>IFERROR(($D76/50-_xlfn.XLOOKUP($H76,$O$48:$O$62,$T$48:$T$62)*$P$14)/$P$9,"")</f>
        <v/>
      </c>
      <c r="M76" s="14">
        <f t="shared" si="1"/>
        <v>0</v>
      </c>
      <c r="O76" s="6" t="s">
        <v>6</v>
      </c>
    </row>
    <row r="77" spans="2:15" x14ac:dyDescent="0.25">
      <c r="B77" s="10" t="str">
        <f>IF('Importér data'!C88="type",'Importér data'!F88,"")</f>
        <v/>
      </c>
      <c r="C77" s="10">
        <f>'Importér data'!H88</f>
        <v>0</v>
      </c>
      <c r="D77" s="32" t="str">
        <f>IF('Importér data'!C88="type",'Importér data'!N88,"")</f>
        <v/>
      </c>
      <c r="E77" s="24"/>
      <c r="F77" s="45"/>
      <c r="G77" s="45"/>
      <c r="H77" s="24"/>
      <c r="I77" s="25" t="str">
        <f>IFERROR(($D77/50-_xlfn.XLOOKUP($E77,$O$35:$O$43,$T$35:$T$43)*F77)/$P$9,"")</f>
        <v/>
      </c>
      <c r="J77" s="25" t="str">
        <f>IFERROR(_xlfn.XLOOKUP($E77,$O$35:$O$43,$T$35:$T$43)*G77/$P$9,"")</f>
        <v/>
      </c>
      <c r="K77" s="25" t="str">
        <f>IF(E77=$O$43,($D77/50-$T$43*$P$9)/$P$9,"")</f>
        <v/>
      </c>
      <c r="L77" s="25" t="str">
        <f>IFERROR(($D77/50-_xlfn.XLOOKUP($H77,$O$48:$O$62,$T$48:$T$62)*$P$14)/$P$9,"")</f>
        <v/>
      </c>
      <c r="M77" s="14">
        <f t="shared" si="1"/>
        <v>0</v>
      </c>
    </row>
    <row r="78" spans="2:15" x14ac:dyDescent="0.25">
      <c r="B78" s="10" t="str">
        <f>IF('Importér data'!C89="type",'Importér data'!F89,"")</f>
        <v/>
      </c>
      <c r="C78" s="10">
        <f>'Importér data'!H89</f>
        <v>0</v>
      </c>
      <c r="D78" s="32" t="str">
        <f>IF('Importér data'!C89="type",'Importér data'!N89,"")</f>
        <v/>
      </c>
      <c r="E78" s="24"/>
      <c r="F78" s="45"/>
      <c r="G78" s="45"/>
      <c r="H78" s="24"/>
      <c r="I78" s="25" t="str">
        <f>IFERROR(($D78/50-_xlfn.XLOOKUP($E78,$O$35:$O$43,$T$35:$T$43)*F78)/$P$9,"")</f>
        <v/>
      </c>
      <c r="J78" s="25" t="str">
        <f>IFERROR(_xlfn.XLOOKUP($E78,$O$35:$O$43,$T$35:$T$43)*G78/$P$9,"")</f>
        <v/>
      </c>
      <c r="K78" s="25" t="str">
        <f>IF(E78=$O$43,($D78/50-$T$43*$P$9)/$P$9,"")</f>
        <v/>
      </c>
      <c r="L78" s="25" t="str">
        <f>IFERROR(($D78/50-_xlfn.XLOOKUP($H78,$O$48:$O$62,$T$48:$T$62)*$P$14)/$P$9,"")</f>
        <v/>
      </c>
      <c r="M78" s="14">
        <f t="shared" si="1"/>
        <v>0</v>
      </c>
    </row>
    <row r="79" spans="2:15" x14ac:dyDescent="0.25">
      <c r="B79" s="10" t="str">
        <f>IF('Importér data'!C90="type",'Importér data'!F90,"")</f>
        <v/>
      </c>
      <c r="C79" s="10">
        <f>'Importér data'!H90</f>
        <v>0</v>
      </c>
      <c r="D79" s="32" t="str">
        <f>IF('Importér data'!C90="type",'Importér data'!N90,"")</f>
        <v/>
      </c>
      <c r="E79" s="24"/>
      <c r="F79" s="45"/>
      <c r="G79" s="45"/>
      <c r="H79" s="24"/>
      <c r="I79" s="25" t="str">
        <f>IFERROR(($D79/50-_xlfn.XLOOKUP($E79,$O$35:$O$43,$T$35:$T$43)*F79)/$P$9,"")</f>
        <v/>
      </c>
      <c r="J79" s="25" t="str">
        <f>IFERROR(_xlfn.XLOOKUP($E79,$O$35:$O$43,$T$35:$T$43)*G79/$P$9,"")</f>
        <v/>
      </c>
      <c r="K79" s="25" t="str">
        <f>IF(E79=$O$43,($D79/50-$T$43*$P$9)/$P$9,"")</f>
        <v/>
      </c>
      <c r="L79" s="25" t="str">
        <f>IFERROR(($D79/50-_xlfn.XLOOKUP($H79,$O$48:$O$62,$T$48:$T$62)*$P$14)/$P$9,"")</f>
        <v/>
      </c>
      <c r="M79" s="14">
        <f t="shared" si="1"/>
        <v>0</v>
      </c>
    </row>
    <row r="80" spans="2:15" x14ac:dyDescent="0.25">
      <c r="B80" s="10" t="str">
        <f>IF('Importér data'!C91="type",'Importér data'!F91,"")</f>
        <v/>
      </c>
      <c r="C80" s="10">
        <f>'Importér data'!H91</f>
        <v>0</v>
      </c>
      <c r="D80" s="32" t="str">
        <f>IF('Importér data'!C91="type",'Importér data'!N91,"")</f>
        <v/>
      </c>
      <c r="E80" s="24"/>
      <c r="F80" s="45"/>
      <c r="G80" s="45"/>
      <c r="H80" s="24"/>
      <c r="I80" s="25" t="str">
        <f>IFERROR(($D80/50-_xlfn.XLOOKUP($E80,$O$35:$O$43,$T$35:$T$43)*F80)/$P$9,"")</f>
        <v/>
      </c>
      <c r="J80" s="25" t="str">
        <f>IFERROR(_xlfn.XLOOKUP($E80,$O$35:$O$43,$T$35:$T$43)*G80/$P$9,"")</f>
        <v/>
      </c>
      <c r="K80" s="25" t="str">
        <f>IF(E80=$O$43,($D80/50-$T$43*$P$9)/$P$9,"")</f>
        <v/>
      </c>
      <c r="L80" s="25" t="str">
        <f>IFERROR(($D80/50-_xlfn.XLOOKUP($H80,$O$48:$O$62,$T$48:$T$62)*$P$14)/$P$9,"")</f>
        <v/>
      </c>
      <c r="M80" s="14">
        <f t="shared" si="1"/>
        <v>0</v>
      </c>
    </row>
    <row r="81" spans="2:15" x14ac:dyDescent="0.25">
      <c r="B81" s="10" t="str">
        <f>IF('Importér data'!C92="type",'Importér data'!F92,"")</f>
        <v/>
      </c>
      <c r="C81" s="10">
        <f>'Importér data'!H92</f>
        <v>0</v>
      </c>
      <c r="D81" s="32" t="str">
        <f>IF('Importér data'!C92="type",'Importér data'!N92,"")</f>
        <v/>
      </c>
      <c r="E81" s="24"/>
      <c r="F81" s="45"/>
      <c r="G81" s="45"/>
      <c r="H81" s="24"/>
      <c r="I81" s="25" t="str">
        <f>IFERROR(($D81/50-_xlfn.XLOOKUP($E81,$O$35:$O$43,$T$35:$T$43)*F81)/$P$9,"")</f>
        <v/>
      </c>
      <c r="J81" s="25" t="str">
        <f>IFERROR(_xlfn.XLOOKUP($E81,$O$35:$O$43,$T$35:$T$43)*G81/$P$9,"")</f>
        <v/>
      </c>
      <c r="K81" s="25" t="str">
        <f>IF(E81=$O$43,($D81/50-$T$43*$P$9)/$P$9,"")</f>
        <v/>
      </c>
      <c r="L81" s="25" t="str">
        <f>IFERROR(($D81/50-_xlfn.XLOOKUP($H81,$O$48:$O$62,$T$48:$T$62)*$P$14)/$P$9,"")</f>
        <v/>
      </c>
      <c r="M81" s="14">
        <f t="shared" si="1"/>
        <v>0</v>
      </c>
    </row>
    <row r="82" spans="2:15" x14ac:dyDescent="0.25">
      <c r="B82" s="10" t="str">
        <f>IF('Importér data'!C93="type",'Importér data'!F93,"")</f>
        <v/>
      </c>
      <c r="C82" s="10">
        <f>'Importér data'!H93</f>
        <v>0</v>
      </c>
      <c r="D82" s="32" t="str">
        <f>IF('Importér data'!C93="type",'Importér data'!N93,"")</f>
        <v/>
      </c>
      <c r="E82" s="24"/>
      <c r="F82" s="45"/>
      <c r="G82" s="45"/>
      <c r="H82" s="24"/>
      <c r="I82" s="25" t="str">
        <f>IFERROR(($D82/50-_xlfn.XLOOKUP($E82,$O$35:$O$43,$T$35:$T$43)*F82)/$P$9,"")</f>
        <v/>
      </c>
      <c r="J82" s="25" t="str">
        <f>IFERROR(_xlfn.XLOOKUP($E82,$O$35:$O$43,$T$35:$T$43)*G82/$P$9,"")</f>
        <v/>
      </c>
      <c r="K82" s="25" t="str">
        <f>IF(E82=$O$43,($D82/50-$T$43*$P$9)/$P$9,"")</f>
        <v/>
      </c>
      <c r="L82" s="25" t="str">
        <f>IFERROR(($D82/50-_xlfn.XLOOKUP($H82,$O$48:$O$62,$T$48:$T$62)*$P$14)/$P$9,"")</f>
        <v/>
      </c>
      <c r="M82" s="14">
        <f t="shared" si="1"/>
        <v>0</v>
      </c>
    </row>
    <row r="83" spans="2:15" x14ac:dyDescent="0.25">
      <c r="B83" s="10" t="str">
        <f>IF('Importér data'!C94="type",'Importér data'!F94,"")</f>
        <v/>
      </c>
      <c r="C83" s="10">
        <f>'Importér data'!H94</f>
        <v>0</v>
      </c>
      <c r="D83" s="32" t="str">
        <f>IF('Importér data'!C94="type",'Importér data'!N94,"")</f>
        <v/>
      </c>
      <c r="E83" s="24"/>
      <c r="F83" s="45"/>
      <c r="G83" s="45"/>
      <c r="H83" s="24"/>
      <c r="I83" s="25" t="str">
        <f>IFERROR(($D83/50-_xlfn.XLOOKUP($E83,$O$35:$O$43,$T$35:$T$43)*F83)/$P$9,"")</f>
        <v/>
      </c>
      <c r="J83" s="25" t="str">
        <f>IFERROR(_xlfn.XLOOKUP($E83,$O$35:$O$43,$T$35:$T$43)*G83/$P$9,"")</f>
        <v/>
      </c>
      <c r="K83" s="25" t="str">
        <f>IF(E83=$O$43,($D83/50-$T$43*$P$9)/$P$9,"")</f>
        <v/>
      </c>
      <c r="L83" s="25" t="str">
        <f>IFERROR(($D83/50-_xlfn.XLOOKUP($H83,$O$48:$O$62,$T$48:$T$62)*$P$14)/$P$9,"")</f>
        <v/>
      </c>
      <c r="M83" s="14">
        <f t="shared" si="1"/>
        <v>0</v>
      </c>
      <c r="O83" s="6" t="s">
        <v>13</v>
      </c>
    </row>
    <row r="84" spans="2:15" x14ac:dyDescent="0.25">
      <c r="B84" s="10" t="str">
        <f>IF('Importér data'!C95="type",'Importér data'!F95,"")</f>
        <v/>
      </c>
      <c r="C84" s="10">
        <f>'Importér data'!H95</f>
        <v>0</v>
      </c>
      <c r="D84" s="32" t="str">
        <f>IF('Importér data'!C95="type",'Importér data'!N95,"")</f>
        <v/>
      </c>
      <c r="E84" s="24"/>
      <c r="F84" s="45"/>
      <c r="G84" s="45"/>
      <c r="H84" s="24"/>
      <c r="I84" s="25" t="str">
        <f>IFERROR(($D84/50-_xlfn.XLOOKUP($E84,$O$35:$O$43,$T$35:$T$43)*F84)/$P$9,"")</f>
        <v/>
      </c>
      <c r="J84" s="25" t="str">
        <f>IFERROR(_xlfn.XLOOKUP($E84,$O$35:$O$43,$T$35:$T$43)*G84/$P$9,"")</f>
        <v/>
      </c>
      <c r="K84" s="25" t="str">
        <f>IF(E84=$O$43,($D84/50-$T$43*$P$9)/$P$9,"")</f>
        <v/>
      </c>
      <c r="L84" s="25" t="str">
        <f>IFERROR(($D84/50-_xlfn.XLOOKUP($H84,$O$48:$O$62,$T$48:$T$62)*$P$14)/$P$9,"")</f>
        <v/>
      </c>
      <c r="M84" s="14">
        <f t="shared" si="1"/>
        <v>0</v>
      </c>
    </row>
    <row r="85" spans="2:15" x14ac:dyDescent="0.25">
      <c r="B85" s="10" t="str">
        <f>IF('Importér data'!C96="type",'Importér data'!F96,"")</f>
        <v/>
      </c>
      <c r="C85" s="10">
        <f>'Importér data'!H96</f>
        <v>0</v>
      </c>
      <c r="D85" s="32" t="str">
        <f>IF('Importér data'!C96="type",'Importér data'!N96,"")</f>
        <v/>
      </c>
      <c r="E85" s="24"/>
      <c r="F85" s="45"/>
      <c r="G85" s="45"/>
      <c r="H85" s="24"/>
      <c r="I85" s="25" t="str">
        <f>IFERROR(($D85/50-_xlfn.XLOOKUP($E85,$O$35:$O$43,$T$35:$T$43)*F85)/$P$9,"")</f>
        <v/>
      </c>
      <c r="J85" s="25" t="str">
        <f>IFERROR(_xlfn.XLOOKUP($E85,$O$35:$O$43,$T$35:$T$43)*G85/$P$9,"")</f>
        <v/>
      </c>
      <c r="K85" s="25" t="str">
        <f>IF(E85=$O$43,($D85/50-$T$43*$P$9)/$P$9,"")</f>
        <v/>
      </c>
      <c r="L85" s="25" t="str">
        <f>IFERROR(($D85/50-_xlfn.XLOOKUP($H85,$O$48:$O$62,$T$48:$T$62)*$P$14)/$P$9,"")</f>
        <v/>
      </c>
      <c r="M85" s="14">
        <f t="shared" si="1"/>
        <v>0</v>
      </c>
    </row>
    <row r="86" spans="2:15" x14ac:dyDescent="0.25">
      <c r="B86" s="10" t="str">
        <f>IF('Importér data'!C97="type",'Importér data'!F97,"")</f>
        <v/>
      </c>
      <c r="C86" s="10">
        <f>'Importér data'!H97</f>
        <v>0</v>
      </c>
      <c r="D86" s="32" t="str">
        <f>IF('Importér data'!C97="type",'Importér data'!N97,"")</f>
        <v/>
      </c>
      <c r="E86" s="24"/>
      <c r="F86" s="45"/>
      <c r="G86" s="45"/>
      <c r="H86" s="24"/>
      <c r="I86" s="25" t="str">
        <f>IFERROR(($D86/50-_xlfn.XLOOKUP($E86,$O$35:$O$43,$T$35:$T$43)*F86)/$P$9,"")</f>
        <v/>
      </c>
      <c r="J86" s="25" t="str">
        <f>IFERROR(_xlfn.XLOOKUP($E86,$O$35:$O$43,$T$35:$T$43)*G86/$P$9,"")</f>
        <v/>
      </c>
      <c r="K86" s="25" t="str">
        <f>IF(E86=$O$43,($D86/50-$T$43*$P$9)/$P$9,"")</f>
        <v/>
      </c>
      <c r="L86" s="25" t="str">
        <f>IFERROR(($D86/50-_xlfn.XLOOKUP($H86,$O$48:$O$62,$T$48:$T$62)*$P$14)/$P$9,"")</f>
        <v/>
      </c>
      <c r="M86" s="14">
        <f t="shared" si="1"/>
        <v>0</v>
      </c>
    </row>
    <row r="87" spans="2:15" x14ac:dyDescent="0.25">
      <c r="B87" s="10" t="str">
        <f>IF('Importér data'!C98="type",'Importér data'!F98,"")</f>
        <v/>
      </c>
      <c r="C87" s="10">
        <f>'Importér data'!H98</f>
        <v>0</v>
      </c>
      <c r="D87" s="32" t="str">
        <f>IF('Importér data'!C98="type",'Importér data'!N98,"")</f>
        <v/>
      </c>
      <c r="E87" s="24"/>
      <c r="F87" s="45"/>
      <c r="G87" s="45"/>
      <c r="H87" s="24"/>
      <c r="I87" s="25" t="str">
        <f>IFERROR(($D87/50-_xlfn.XLOOKUP($E87,$O$35:$O$43,$T$35:$T$43)*F87)/$P$9,"")</f>
        <v/>
      </c>
      <c r="J87" s="25" t="str">
        <f>IFERROR(_xlfn.XLOOKUP($E87,$O$35:$O$43,$T$35:$T$43)*G87/$P$9,"")</f>
        <v/>
      </c>
      <c r="K87" s="25" t="str">
        <f>IF(E87=$O$43,($D87/50-$T$43*$P$9)/$P$9,"")</f>
        <v/>
      </c>
      <c r="L87" s="25" t="str">
        <f>IFERROR(($D87/50-_xlfn.XLOOKUP($H87,$O$48:$O$62,$T$48:$T$62)*$P$14)/$P$9,"")</f>
        <v/>
      </c>
      <c r="M87" s="14">
        <f t="shared" si="1"/>
        <v>0</v>
      </c>
    </row>
    <row r="88" spans="2:15" x14ac:dyDescent="0.25">
      <c r="B88" s="10" t="str">
        <f>IF('Importér data'!C99="type",'Importér data'!F99,"")</f>
        <v/>
      </c>
      <c r="C88" s="10">
        <f>'Importér data'!H99</f>
        <v>0</v>
      </c>
      <c r="D88" s="32" t="str">
        <f>IF('Importér data'!C99="type",'Importér data'!N99,"")</f>
        <v/>
      </c>
      <c r="E88" s="24"/>
      <c r="F88" s="45"/>
      <c r="G88" s="45"/>
      <c r="H88" s="24"/>
      <c r="I88" s="25" t="str">
        <f>IFERROR(($D88/50-_xlfn.XLOOKUP($E88,$O$35:$O$43,$T$35:$T$43)*F88)/$P$9,"")</f>
        <v/>
      </c>
      <c r="J88" s="25" t="str">
        <f>IFERROR(_xlfn.XLOOKUP($E88,$O$35:$O$43,$T$35:$T$43)*G88/$P$9,"")</f>
        <v/>
      </c>
      <c r="K88" s="25" t="str">
        <f>IF(E88=$O$43,($D88/50-$T$43*$P$9)/$P$9,"")</f>
        <v/>
      </c>
      <c r="L88" s="25" t="str">
        <f>IFERROR(($D88/50-_xlfn.XLOOKUP($H88,$O$48:$O$62,$T$48:$T$62)*$P$14)/$P$9,"")</f>
        <v/>
      </c>
      <c r="M88" s="14">
        <f t="shared" si="1"/>
        <v>0</v>
      </c>
    </row>
    <row r="89" spans="2:15" x14ac:dyDescent="0.25">
      <c r="B89" s="10" t="str">
        <f>IF('Importér data'!C100="type",'Importér data'!F100,"")</f>
        <v/>
      </c>
      <c r="C89" s="10">
        <f>'Importér data'!H100</f>
        <v>0</v>
      </c>
      <c r="D89" s="32" t="str">
        <f>IF('Importér data'!C100="type",'Importér data'!N100,"")</f>
        <v/>
      </c>
      <c r="E89" s="24"/>
      <c r="F89" s="45"/>
      <c r="G89" s="45"/>
      <c r="H89" s="24"/>
      <c r="I89" s="25" t="str">
        <f>IFERROR(($D89/50-_xlfn.XLOOKUP($E89,$O$35:$O$43,$T$35:$T$43)*F89)/$P$9,"")</f>
        <v/>
      </c>
      <c r="J89" s="25" t="str">
        <f>IFERROR(_xlfn.XLOOKUP($E89,$O$35:$O$43,$T$35:$T$43)*G89/$P$9,"")</f>
        <v/>
      </c>
      <c r="K89" s="25" t="str">
        <f>IF(E89=$O$43,($D89/50-$T$43*$P$9)/$P$9,"")</f>
        <v/>
      </c>
      <c r="L89" s="25" t="str">
        <f>IFERROR(($D89/50-_xlfn.XLOOKUP($H89,$O$48:$O$62,$T$48:$T$62)*$P$14)/$P$9,"")</f>
        <v/>
      </c>
      <c r="M89" s="14">
        <f t="shared" si="1"/>
        <v>0</v>
      </c>
    </row>
    <row r="90" spans="2:15" x14ac:dyDescent="0.25">
      <c r="B90" s="10" t="str">
        <f>IF('Importér data'!C101="type",'Importér data'!F101,"")</f>
        <v/>
      </c>
      <c r="C90" s="10">
        <f>'Importér data'!H101</f>
        <v>0</v>
      </c>
      <c r="D90" s="32" t="str">
        <f>IF('Importér data'!C101="type",'Importér data'!N101,"")</f>
        <v/>
      </c>
      <c r="E90" s="24"/>
      <c r="F90" s="45"/>
      <c r="G90" s="45"/>
      <c r="H90" s="24"/>
      <c r="I90" s="25" t="str">
        <f>IFERROR(($D90/50-_xlfn.XLOOKUP($E90,$O$35:$O$43,$T$35:$T$43)*F90)/$P$9,"")</f>
        <v/>
      </c>
      <c r="J90" s="25" t="str">
        <f>IFERROR(_xlfn.XLOOKUP($E90,$O$35:$O$43,$T$35:$T$43)*G90/$P$9,"")</f>
        <v/>
      </c>
      <c r="K90" s="25" t="str">
        <f>IF(E90=$O$43,($D90/50-$T$43*$P$9)/$P$9,"")</f>
        <v/>
      </c>
      <c r="L90" s="25" t="str">
        <f>IFERROR(($D90/50-_xlfn.XLOOKUP($H90,$O$48:$O$62,$T$48:$T$62)*$P$14)/$P$9,"")</f>
        <v/>
      </c>
      <c r="M90" s="14">
        <f t="shared" si="1"/>
        <v>0</v>
      </c>
    </row>
    <row r="91" spans="2:15" x14ac:dyDescent="0.25">
      <c r="B91" s="10" t="str">
        <f>IF('Importér data'!C102="type",'Importér data'!F102,"")</f>
        <v/>
      </c>
      <c r="C91" s="10">
        <f>'Importér data'!H102</f>
        <v>0</v>
      </c>
      <c r="D91" s="32" t="str">
        <f>IF('Importér data'!C102="type",'Importér data'!N102,"")</f>
        <v/>
      </c>
      <c r="E91" s="24"/>
      <c r="F91" s="45"/>
      <c r="G91" s="45"/>
      <c r="H91" s="24"/>
      <c r="I91" s="25" t="str">
        <f>IFERROR(($D91/50-_xlfn.XLOOKUP($E91,$O$35:$O$43,$T$35:$T$43)*F91)/$P$9,"")</f>
        <v/>
      </c>
      <c r="J91" s="25" t="str">
        <f>IFERROR(_xlfn.XLOOKUP($E91,$O$35:$O$43,$T$35:$T$43)*G91/$P$9,"")</f>
        <v/>
      </c>
      <c r="K91" s="25" t="str">
        <f>IF(E91=$O$43,($D91/50-$T$43*$P$9)/$P$9,"")</f>
        <v/>
      </c>
      <c r="L91" s="25" t="str">
        <f>IFERROR(($D91/50-_xlfn.XLOOKUP($H91,$O$48:$O$62,$T$48:$T$62)*$P$14)/$P$9,"")</f>
        <v/>
      </c>
      <c r="M91" s="14">
        <f t="shared" si="1"/>
        <v>0</v>
      </c>
      <c r="O91" s="7" t="s">
        <v>36</v>
      </c>
    </row>
    <row r="92" spans="2:15" x14ac:dyDescent="0.25">
      <c r="B92" s="10" t="str">
        <f>IF('Importér data'!C103="type",'Importér data'!F103,"")</f>
        <v/>
      </c>
      <c r="C92" s="10">
        <f>'Importér data'!H103</f>
        <v>0</v>
      </c>
      <c r="D92" s="32" t="str">
        <f>IF('Importér data'!C103="type",'Importér data'!N103,"")</f>
        <v/>
      </c>
      <c r="E92" s="24"/>
      <c r="F92" s="45"/>
      <c r="G92" s="45"/>
      <c r="H92" s="24"/>
      <c r="I92" s="25" t="str">
        <f>IFERROR(($D92/50-_xlfn.XLOOKUP($E92,$O$35:$O$43,$T$35:$T$43)*F92)/$P$9,"")</f>
        <v/>
      </c>
      <c r="J92" s="25" t="str">
        <f>IFERROR(_xlfn.XLOOKUP($E92,$O$35:$O$43,$T$35:$T$43)*G92/$P$9,"")</f>
        <v/>
      </c>
      <c r="K92" s="25" t="str">
        <f>IF(E92=$O$43,($D92/50-$T$43*$P$9)/$P$9,"")</f>
        <v/>
      </c>
      <c r="L92" s="25" t="str">
        <f>IFERROR(($D92/50-_xlfn.XLOOKUP($H92,$O$48:$O$62,$T$48:$T$62)*$P$14)/$P$9,"")</f>
        <v/>
      </c>
      <c r="M92" s="14">
        <f t="shared" si="1"/>
        <v>0</v>
      </c>
      <c r="O92" t="str">
        <f>O35</f>
        <v>Etage- og kælderdæk </v>
      </c>
    </row>
    <row r="93" spans="2:15" x14ac:dyDescent="0.25">
      <c r="B93" s="10" t="str">
        <f>IF('Importér data'!C104="type",'Importér data'!F104,"")</f>
        <v/>
      </c>
      <c r="C93" s="10">
        <f>'Importér data'!H104</f>
        <v>0</v>
      </c>
      <c r="D93" s="32" t="str">
        <f>IF('Importér data'!C104="type",'Importér data'!N104,"")</f>
        <v/>
      </c>
      <c r="E93" s="24"/>
      <c r="F93" s="45"/>
      <c r="G93" s="45"/>
      <c r="H93" s="24"/>
      <c r="I93" s="25" t="str">
        <f>IFERROR(($D93/50-_xlfn.XLOOKUP($E93,$O$35:$O$43,$T$35:$T$43)*F93)/$P$9,"")</f>
        <v/>
      </c>
      <c r="J93" s="25" t="str">
        <f>IFERROR(_xlfn.XLOOKUP($E93,$O$35:$O$43,$T$35:$T$43)*G93/$P$9,"")</f>
        <v/>
      </c>
      <c r="K93" s="25" t="str">
        <f>IF(E93=$O$43,($D93/50-$T$43*$P$9)/$P$9,"")</f>
        <v/>
      </c>
      <c r="L93" s="25" t="str">
        <f>IFERROR(($D93/50-_xlfn.XLOOKUP($H93,$O$48:$O$62,$T$48:$T$62)*$P$14)/$P$9,"")</f>
        <v/>
      </c>
      <c r="M93" s="14">
        <f t="shared" si="1"/>
        <v>0</v>
      </c>
      <c r="O93" t="str">
        <f>O36</f>
        <v>Gulv</v>
      </c>
    </row>
    <row r="94" spans="2:15" x14ac:dyDescent="0.25">
      <c r="B94" s="10" t="str">
        <f>IF('Importér data'!C105="type",'Importér data'!F105,"")</f>
        <v/>
      </c>
      <c r="C94" s="10">
        <f>'Importér data'!H105</f>
        <v>0</v>
      </c>
      <c r="D94" s="32" t="str">
        <f>IF('Importér data'!C105="type",'Importér data'!N105,"")</f>
        <v/>
      </c>
      <c r="E94" s="24"/>
      <c r="F94" s="45"/>
      <c r="G94" s="45"/>
      <c r="H94" s="24"/>
      <c r="I94" s="25" t="str">
        <f>IFERROR(($D94/50-_xlfn.XLOOKUP($E94,$O$35:$O$43,$T$35:$T$43)*F94)/$P$9,"")</f>
        <v/>
      </c>
      <c r="J94" s="25" t="str">
        <f>IFERROR(_xlfn.XLOOKUP($E94,$O$35:$O$43,$T$35:$T$43)*G94/$P$9,"")</f>
        <v/>
      </c>
      <c r="K94" s="25" t="str">
        <f>IF(E94=$O$43,($D94/50-$T$43*$P$9)/$P$9,"")</f>
        <v/>
      </c>
      <c r="L94" s="25" t="str">
        <f>IFERROR(($D94/50-_xlfn.XLOOKUP($H94,$O$48:$O$62,$T$48:$T$62)*$P$14)/$P$9,"")</f>
        <v/>
      </c>
      <c r="M94" s="14">
        <f t="shared" si="1"/>
        <v>0</v>
      </c>
      <c r="O94" t="str">
        <f>O37</f>
        <v>Loft</v>
      </c>
    </row>
    <row r="95" spans="2:15" x14ac:dyDescent="0.25">
      <c r="B95" s="10" t="str">
        <f>IF('Importér data'!C106="type",'Importér data'!F106,"")</f>
        <v/>
      </c>
      <c r="C95" s="10">
        <f>'Importér data'!H106</f>
        <v>0</v>
      </c>
      <c r="D95" s="32" t="str">
        <f>IF('Importér data'!C106="type",'Importér data'!N106,"")</f>
        <v/>
      </c>
      <c r="E95" s="24"/>
      <c r="F95" s="45"/>
      <c r="G95" s="45"/>
      <c r="H95" s="24"/>
      <c r="I95" s="25" t="str">
        <f>IFERROR(($D95/50-_xlfn.XLOOKUP($E95,$O$35:$O$43,$T$35:$T$43)*F95)/$P$9,"")</f>
        <v/>
      </c>
      <c r="J95" s="25" t="str">
        <f>IFERROR(_xlfn.XLOOKUP($E95,$O$35:$O$43,$T$35:$T$43)*G95/$P$9,"")</f>
        <v/>
      </c>
      <c r="K95" s="25" t="str">
        <f>IF(E95=$O$43,($D95/50-$T$43*$P$9)/$P$9,"")</f>
        <v/>
      </c>
      <c r="L95" s="25" t="str">
        <f>IFERROR(($D95/50-_xlfn.XLOOKUP($H95,$O$48:$O$62,$T$48:$T$62)*$P$14)/$P$9,"")</f>
        <v/>
      </c>
      <c r="M95" s="14">
        <f t="shared" si="1"/>
        <v>0</v>
      </c>
      <c r="O95" t="str">
        <f>O38</f>
        <v>Indervæg</v>
      </c>
    </row>
    <row r="96" spans="2:15" x14ac:dyDescent="0.25">
      <c r="B96" s="10" t="str">
        <f>IF('Importér data'!C107="type",'Importér data'!F107,"")</f>
        <v/>
      </c>
      <c r="C96" s="10">
        <f>'Importér data'!H107</f>
        <v>0</v>
      </c>
      <c r="D96" s="32" t="str">
        <f>IF('Importér data'!C107="type",'Importér data'!N107,"")</f>
        <v/>
      </c>
      <c r="E96" s="24"/>
      <c r="F96" s="45"/>
      <c r="G96" s="45"/>
      <c r="H96" s="24"/>
      <c r="I96" s="25" t="str">
        <f>IFERROR(($D96/50-_xlfn.XLOOKUP($E96,$O$35:$O$43,$T$35:$T$43)*F96)/$P$9,"")</f>
        <v/>
      </c>
      <c r="J96" s="25" t="str">
        <f>IFERROR(_xlfn.XLOOKUP($E96,$O$35:$O$43,$T$35:$T$43)*G96/$P$9,"")</f>
        <v/>
      </c>
      <c r="K96" s="25" t="str">
        <f>IF(E96=$O$43,($D96/50-$T$43*$P$9)/$P$9,"")</f>
        <v/>
      </c>
      <c r="L96" s="25" t="str">
        <f>IFERROR(($D96/50-_xlfn.XLOOKUP($H96,$O$48:$O$62,$T$48:$T$62)*$P$14)/$P$9,"")</f>
        <v/>
      </c>
      <c r="M96" s="14">
        <f t="shared" si="1"/>
        <v>0</v>
      </c>
      <c r="O96" t="str">
        <f>O39</f>
        <v>Tag</v>
      </c>
    </row>
    <row r="97" spans="2:15" x14ac:dyDescent="0.25">
      <c r="B97" s="10" t="str">
        <f>IF('Importér data'!C108="type",'Importér data'!F108,"")</f>
        <v/>
      </c>
      <c r="C97" s="10">
        <f>'Importér data'!H108</f>
        <v>0</v>
      </c>
      <c r="D97" s="32" t="str">
        <f>IF('Importér data'!C108="type",'Importér data'!N108,"")</f>
        <v/>
      </c>
      <c r="E97" s="24"/>
      <c r="F97" s="45"/>
      <c r="G97" s="45"/>
      <c r="H97" s="24"/>
      <c r="I97" s="25" t="str">
        <f>IFERROR(($D97/50-_xlfn.XLOOKUP($E97,$O$35:$O$43,$T$35:$T$43)*F97)/$P$9,"")</f>
        <v/>
      </c>
      <c r="J97" s="25" t="str">
        <f>IFERROR(_xlfn.XLOOKUP($E97,$O$35:$O$43,$T$35:$T$43)*G97/$P$9,"")</f>
        <v/>
      </c>
      <c r="K97" s="25" t="str">
        <f>IF(E97=$O$43,($D97/50-$T$43*$P$9)/$P$9,"")</f>
        <v/>
      </c>
      <c r="L97" s="25" t="str">
        <f>IFERROR(($D97/50-_xlfn.XLOOKUP($H97,$O$48:$O$62,$T$48:$T$62)*$P$14)/$P$9,"")</f>
        <v/>
      </c>
      <c r="M97" s="14">
        <f t="shared" si="1"/>
        <v>0</v>
      </c>
      <c r="O97" t="str">
        <f>O40</f>
        <v>Terrændæk/pladefundament</v>
      </c>
    </row>
    <row r="98" spans="2:15" x14ac:dyDescent="0.25">
      <c r="B98" s="10" t="str">
        <f>IF('Importér data'!C109="type",'Importér data'!F109,"")</f>
        <v/>
      </c>
      <c r="C98" s="10">
        <f>'Importér data'!H109</f>
        <v>0</v>
      </c>
      <c r="D98" s="32" t="str">
        <f>IF('Importér data'!C109="type",'Importér data'!N109,"")</f>
        <v/>
      </c>
      <c r="E98" s="24"/>
      <c r="F98" s="45"/>
      <c r="G98" s="45"/>
      <c r="H98" s="24"/>
      <c r="I98" s="25" t="str">
        <f>IFERROR(($D98/50-_xlfn.XLOOKUP($E98,$O$35:$O$43,$T$35:$T$43)*F98)/$P$9,"")</f>
        <v/>
      </c>
      <c r="J98" s="25" t="str">
        <f>IFERROR(_xlfn.XLOOKUP($E98,$O$35:$O$43,$T$35:$T$43)*G98/$P$9,"")</f>
        <v/>
      </c>
      <c r="K98" s="25" t="str">
        <f>IF(E98=$O$43,($D98/50-$T$43*$P$9)/$P$9,"")</f>
        <v/>
      </c>
      <c r="L98" s="25" t="str">
        <f>IFERROR(($D98/50-_xlfn.XLOOKUP($H98,$O$48:$O$62,$T$48:$T$62)*$P$14)/$P$9,"")</f>
        <v/>
      </c>
      <c r="M98" s="14">
        <f t="shared" si="1"/>
        <v>0</v>
      </c>
      <c r="O98" t="str">
        <f>O41</f>
        <v>Ydervæg og kælderydervæg</v>
      </c>
    </row>
    <row r="99" spans="2:15" x14ac:dyDescent="0.25">
      <c r="B99" s="10" t="str">
        <f>IF('Importér data'!C110="type",'Importér data'!F110,"")</f>
        <v/>
      </c>
      <c r="C99" s="10">
        <f>'Importér data'!H110</f>
        <v>0</v>
      </c>
      <c r="D99" s="32" t="str">
        <f>IF('Importér data'!C110="type",'Importér data'!N110,"")</f>
        <v/>
      </c>
      <c r="E99" s="24"/>
      <c r="F99" s="45"/>
      <c r="G99" s="45"/>
      <c r="H99" s="24"/>
      <c r="I99" s="25" t="str">
        <f>IFERROR(($D99/50-_xlfn.XLOOKUP($E99,$O$35:$O$43,$T$35:$T$43)*F99)/$P$9,"")</f>
        <v/>
      </c>
      <c r="J99" s="25" t="str">
        <f>IFERROR(_xlfn.XLOOKUP($E99,$O$35:$O$43,$T$35:$T$43)*G99/$P$9,"")</f>
        <v/>
      </c>
      <c r="K99" s="25" t="str">
        <f>IF(E99=$O$43,($D99/50-$T$43*$P$9)/$P$9,"")</f>
        <v/>
      </c>
      <c r="L99" s="25" t="str">
        <f>IFERROR(($D99/50-_xlfn.XLOOKUP($H99,$O$48:$O$62,$T$48:$T$62)*$P$14)/$P$9,"")</f>
        <v/>
      </c>
      <c r="M99" s="14">
        <f t="shared" si="1"/>
        <v>0</v>
      </c>
      <c r="O99" t="str">
        <f>O42</f>
        <v>Søjler/bjælker</v>
      </c>
    </row>
    <row r="100" spans="2:15" x14ac:dyDescent="0.25">
      <c r="B100" s="10" t="str">
        <f>IF('Importér data'!C111="type",'Importér data'!F111,"")</f>
        <v/>
      </c>
      <c r="C100" s="10">
        <f>'Importér data'!H111</f>
        <v>0</v>
      </c>
      <c r="D100" s="32" t="str">
        <f>IF('Importér data'!C111="type",'Importér data'!N111,"")</f>
        <v/>
      </c>
      <c r="E100" s="24"/>
      <c r="F100" s="45"/>
      <c r="G100" s="45"/>
      <c r="H100" s="24"/>
      <c r="I100" s="25" t="str">
        <f>IFERROR(($D100/50-_xlfn.XLOOKUP($E100,$O$35:$O$43,$T$35:$T$43)*F100)/$P$9,"")</f>
        <v/>
      </c>
      <c r="J100" s="25" t="str">
        <f>IFERROR(_xlfn.XLOOKUP($E100,$O$35:$O$43,$T$35:$T$43)*G100/$P$9,"")</f>
        <v/>
      </c>
      <c r="K100" s="25" t="str">
        <f>IF(E100=$O$43,($D100/50-$T$43*$P$9)/$P$9,"")</f>
        <v/>
      </c>
      <c r="L100" s="25" t="str">
        <f>IFERROR(($D100/50-_xlfn.XLOOKUP($H100,$O$48:$O$62,$T$48:$T$62)*$P$14)/$P$9,"")</f>
        <v/>
      </c>
      <c r="M100" s="14">
        <f t="shared" si="1"/>
        <v>0</v>
      </c>
      <c r="O100" t="str">
        <f>O43</f>
        <v>Fundamenter</v>
      </c>
    </row>
    <row r="101" spans="2:15" x14ac:dyDescent="0.25">
      <c r="B101" s="10" t="str">
        <f>IF('Importér data'!C112="type",'Importér data'!F112,"")</f>
        <v/>
      </c>
      <c r="C101" s="10">
        <f>'Importér data'!H112</f>
        <v>0</v>
      </c>
      <c r="D101" s="32" t="str">
        <f>IF('Importér data'!C112="type",'Importér data'!N112,"")</f>
        <v/>
      </c>
      <c r="E101" s="24"/>
      <c r="F101" s="45"/>
      <c r="G101" s="45"/>
      <c r="H101" s="24"/>
      <c r="I101" s="25" t="str">
        <f>IFERROR(($D101/50-_xlfn.XLOOKUP($E101,$O$35:$O$43,$T$35:$T$43)*F101)/$P$9,"")</f>
        <v/>
      </c>
      <c r="J101" s="25" t="str">
        <f>IFERROR(_xlfn.XLOOKUP($E101,$O$35:$O$43,$T$35:$T$43)*G101/$P$9,"")</f>
        <v/>
      </c>
      <c r="K101" s="25" t="str">
        <f>IF(E101=$O$43,($D101/50-$T$43*$P$9)/$P$9,"")</f>
        <v/>
      </c>
      <c r="L101" s="25" t="str">
        <f>IFERROR(($D101/50-_xlfn.XLOOKUP($H101,$O$48:$O$62,$T$48:$T$62)*$P$14)/$P$9,"")</f>
        <v/>
      </c>
      <c r="M101" s="14">
        <f t="shared" si="1"/>
        <v>0</v>
      </c>
      <c r="O101" t="s">
        <v>13</v>
      </c>
    </row>
    <row r="102" spans="2:15" x14ac:dyDescent="0.25">
      <c r="B102" s="10" t="str">
        <f>IF('Importér data'!C113="type",'Importér data'!F113,"")</f>
        <v/>
      </c>
      <c r="C102" s="10">
        <f>'Importér data'!H113</f>
        <v>0</v>
      </c>
      <c r="D102" s="32" t="str">
        <f>IF('Importér data'!C113="type",'Importér data'!N113,"")</f>
        <v/>
      </c>
      <c r="E102" s="24"/>
      <c r="F102" s="45"/>
      <c r="G102" s="45"/>
      <c r="H102" s="24"/>
      <c r="I102" s="25" t="str">
        <f>IFERROR(($D102/50-_xlfn.XLOOKUP($E102,$O$35:$O$43,$T$35:$T$43)*F102)/$P$9,"")</f>
        <v/>
      </c>
      <c r="J102" s="25" t="str">
        <f>IFERROR(_xlfn.XLOOKUP($E102,$O$35:$O$43,$T$35:$T$43)*G102/$P$9,"")</f>
        <v/>
      </c>
      <c r="K102" s="25" t="str">
        <f>IF(E102=$O$43,($D102/50-$T$43*$P$9)/$P$9,"")</f>
        <v/>
      </c>
      <c r="L102" s="25" t="str">
        <f>IFERROR(($D102/50-_xlfn.XLOOKUP($H102,$O$48:$O$62,$T$48:$T$62)*$P$14)/$P$9,"")</f>
        <v/>
      </c>
      <c r="M102" s="14">
        <f t="shared" si="1"/>
        <v>0</v>
      </c>
    </row>
    <row r="103" spans="2:15" x14ac:dyDescent="0.25">
      <c r="B103" s="10" t="str">
        <f>IF('Importér data'!C114="type",'Importér data'!F114,"")</f>
        <v/>
      </c>
      <c r="C103" s="10">
        <f>'Importér data'!H114</f>
        <v>0</v>
      </c>
      <c r="D103" s="32" t="str">
        <f>IF('Importér data'!C114="type",'Importér data'!N114,"")</f>
        <v/>
      </c>
      <c r="E103" s="24"/>
      <c r="F103" s="45"/>
      <c r="G103" s="45"/>
      <c r="H103" s="24"/>
      <c r="I103" s="25" t="str">
        <f>IFERROR(($D103/50-_xlfn.XLOOKUP($E103,$O$35:$O$43,$T$35:$T$43)*F103)/$P$9,"")</f>
        <v/>
      </c>
      <c r="J103" s="25" t="str">
        <f>IFERROR(_xlfn.XLOOKUP($E103,$O$35:$O$43,$T$35:$T$43)*G103/$P$9,"")</f>
        <v/>
      </c>
      <c r="K103" s="25" t="str">
        <f>IF(E103=$O$43,($D103/50-$T$43*$P$9)/$P$9,"")</f>
        <v/>
      </c>
      <c r="L103" s="25" t="str">
        <f>IFERROR(($D103/50-_xlfn.XLOOKUP($H103,$O$48:$O$62,$T$48:$T$62)*$P$14)/$P$9,"")</f>
        <v/>
      </c>
      <c r="M103" s="14">
        <f t="shared" si="1"/>
        <v>0</v>
      </c>
    </row>
    <row r="104" spans="2:15" x14ac:dyDescent="0.25">
      <c r="B104" s="10" t="str">
        <f>IF('Importér data'!C115="type",'Importér data'!F115,"")</f>
        <v/>
      </c>
      <c r="C104" s="10">
        <f>'Importér data'!H115</f>
        <v>0</v>
      </c>
      <c r="D104" s="32" t="str">
        <f>IF('Importér data'!C115="type",'Importér data'!N115,"")</f>
        <v/>
      </c>
      <c r="E104" s="24"/>
      <c r="F104" s="45"/>
      <c r="G104" s="45"/>
      <c r="H104" s="24"/>
      <c r="I104" s="25" t="str">
        <f>IFERROR(($D104/50-_xlfn.XLOOKUP($E104,$O$35:$O$43,$T$35:$T$43)*F104)/$P$9,"")</f>
        <v/>
      </c>
      <c r="J104" s="25" t="str">
        <f>IFERROR(_xlfn.XLOOKUP($E104,$O$35:$O$43,$T$35:$T$43)*G104/$P$9,"")</f>
        <v/>
      </c>
      <c r="K104" s="25" t="str">
        <f>IF(E104=$O$43,($D104/50-$T$43*$P$9)/$P$9,"")</f>
        <v/>
      </c>
      <c r="L104" s="25" t="str">
        <f>IFERROR(($D104/50-_xlfn.XLOOKUP($H104,$O$48:$O$62,$T$48:$T$62)*$P$14)/$P$9,"")</f>
        <v/>
      </c>
      <c r="M104" s="14">
        <f t="shared" si="1"/>
        <v>0</v>
      </c>
    </row>
    <row r="105" spans="2:15" x14ac:dyDescent="0.25">
      <c r="B105" s="10" t="str">
        <f>IF('Importér data'!C116="type",'Importér data'!F116,"")</f>
        <v/>
      </c>
      <c r="C105" s="10">
        <f>'Importér data'!H116</f>
        <v>0</v>
      </c>
      <c r="D105" s="32" t="str">
        <f>IF('Importér data'!C116="type",'Importér data'!N116,"")</f>
        <v/>
      </c>
      <c r="E105" s="24"/>
      <c r="F105" s="45"/>
      <c r="G105" s="45"/>
      <c r="H105" s="24"/>
      <c r="I105" s="25" t="str">
        <f>IFERROR(($D105/50-_xlfn.XLOOKUP($E105,$O$35:$O$43,$T$35:$T$43)*F105)/$P$9,"")</f>
        <v/>
      </c>
      <c r="J105" s="25" t="str">
        <f>IFERROR(_xlfn.XLOOKUP($E105,$O$35:$O$43,$T$35:$T$43)*G105/$P$9,"")</f>
        <v/>
      </c>
      <c r="K105" s="25" t="str">
        <f>IF(E105=$O$43,($D105/50-$T$43*$P$9)/$P$9,"")</f>
        <v/>
      </c>
      <c r="L105" s="25" t="str">
        <f>IFERROR(($D105/50-_xlfn.XLOOKUP($H105,$O$48:$O$62,$T$48:$T$62)*$P$14)/$P$9,"")</f>
        <v/>
      </c>
      <c r="M105" s="14">
        <f t="shared" si="1"/>
        <v>0</v>
      </c>
    </row>
    <row r="106" spans="2:15" x14ac:dyDescent="0.25">
      <c r="B106" s="10" t="str">
        <f>IF('Importér data'!C117="type",'Importér data'!F117,"")</f>
        <v/>
      </c>
      <c r="C106" s="10">
        <f>'Importér data'!H117</f>
        <v>0</v>
      </c>
      <c r="D106" s="32" t="str">
        <f>IF('Importér data'!C117="type",'Importér data'!N117,"")</f>
        <v/>
      </c>
      <c r="E106" s="24"/>
      <c r="F106" s="45"/>
      <c r="G106" s="45"/>
      <c r="H106" s="24"/>
      <c r="I106" s="25" t="str">
        <f>IFERROR(($D106/50-_xlfn.XLOOKUP($E106,$O$35:$O$43,$T$35:$T$43)*F106)/$P$9,"")</f>
        <v/>
      </c>
      <c r="J106" s="25" t="str">
        <f>IFERROR(_xlfn.XLOOKUP($E106,$O$35:$O$43,$T$35:$T$43)*G106/$P$9,"")</f>
        <v/>
      </c>
      <c r="K106" s="25" t="str">
        <f>IF(E106=$O$43,($D106/50-$T$43*$P$9)/$P$9,"")</f>
        <v/>
      </c>
      <c r="L106" s="25" t="str">
        <f>IFERROR(($D106/50-_xlfn.XLOOKUP($H106,$O$48:$O$62,$T$48:$T$62)*$P$14)/$P$9,"")</f>
        <v/>
      </c>
      <c r="M106" s="14">
        <f t="shared" si="1"/>
        <v>0</v>
      </c>
    </row>
    <row r="107" spans="2:15" x14ac:dyDescent="0.25">
      <c r="B107" s="10" t="str">
        <f>IF('Importér data'!C118="type",'Importér data'!F118,"")</f>
        <v/>
      </c>
      <c r="C107" s="10">
        <f>'Importér data'!H118</f>
        <v>0</v>
      </c>
      <c r="D107" s="32" t="str">
        <f>IF('Importér data'!C118="type",'Importér data'!N118,"")</f>
        <v/>
      </c>
      <c r="E107" s="24"/>
      <c r="F107" s="45"/>
      <c r="G107" s="45"/>
      <c r="H107" s="24"/>
      <c r="I107" s="25" t="str">
        <f>IFERROR(($D107/50-_xlfn.XLOOKUP($E107,$O$35:$O$43,$T$35:$T$43)*F107)/$P$9,"")</f>
        <v/>
      </c>
      <c r="J107" s="25" t="str">
        <f>IFERROR(_xlfn.XLOOKUP($E107,$O$35:$O$43,$T$35:$T$43)*G107/$P$9,"")</f>
        <v/>
      </c>
      <c r="K107" s="25" t="str">
        <f>IF(E107=$O$43,($D107/50-$T$43*$P$9)/$P$9,"")</f>
        <v/>
      </c>
      <c r="L107" s="25" t="str">
        <f>IFERROR(($D107/50-_xlfn.XLOOKUP($H107,$O$48:$O$62,$T$48:$T$62)*$P$14)/$P$9,"")</f>
        <v/>
      </c>
      <c r="M107" s="14">
        <f t="shared" si="1"/>
        <v>0</v>
      </c>
    </row>
    <row r="108" spans="2:15" x14ac:dyDescent="0.25">
      <c r="B108" s="10" t="str">
        <f>IF('Importér data'!C119="type",'Importér data'!F119,"")</f>
        <v/>
      </c>
      <c r="C108" s="10">
        <f>'Importér data'!H119</f>
        <v>0</v>
      </c>
      <c r="D108" s="32" t="str">
        <f>IF('Importér data'!C119="type",'Importér data'!N119,"")</f>
        <v/>
      </c>
      <c r="E108" s="24"/>
      <c r="F108" s="45"/>
      <c r="G108" s="45"/>
      <c r="H108" s="24"/>
      <c r="I108" s="25" t="str">
        <f>IFERROR(($D108/50-_xlfn.XLOOKUP($E108,$O$35:$O$43,$T$35:$T$43)*F108)/$P$9,"")</f>
        <v/>
      </c>
      <c r="J108" s="25" t="str">
        <f>IFERROR(_xlfn.XLOOKUP($E108,$O$35:$O$43,$T$35:$T$43)*G108/$P$9,"")</f>
        <v/>
      </c>
      <c r="K108" s="25" t="str">
        <f>IF(E108=$O$43,($D108/50-$T$43*$P$9)/$P$9,"")</f>
        <v/>
      </c>
      <c r="L108" s="25" t="str">
        <f>IFERROR(($D108/50-_xlfn.XLOOKUP($H108,$O$48:$O$62,$T$48:$T$62)*$P$14)/$P$9,"")</f>
        <v/>
      </c>
      <c r="M108" s="14">
        <f t="shared" si="1"/>
        <v>0</v>
      </c>
    </row>
    <row r="109" spans="2:15" x14ac:dyDescent="0.25">
      <c r="B109" s="10" t="str">
        <f>IF('Importér data'!C120="type",'Importér data'!F120,"")</f>
        <v/>
      </c>
      <c r="C109" s="10">
        <f>'Importér data'!H120</f>
        <v>0</v>
      </c>
      <c r="D109" s="32" t="str">
        <f>IF('Importér data'!C120="type",'Importér data'!N120,"")</f>
        <v/>
      </c>
      <c r="E109" s="24"/>
      <c r="F109" s="45"/>
      <c r="G109" s="45"/>
      <c r="H109" s="24"/>
      <c r="I109" s="25" t="str">
        <f>IFERROR(($D109/50-_xlfn.XLOOKUP($E109,$O$35:$O$43,$T$35:$T$43)*F109)/$P$9,"")</f>
        <v/>
      </c>
      <c r="J109" s="25" t="str">
        <f>IFERROR(_xlfn.XLOOKUP($E109,$O$35:$O$43,$T$35:$T$43)*G109/$P$9,"")</f>
        <v/>
      </c>
      <c r="K109" s="25" t="str">
        <f>IF(E109=$O$43,($D109/50-$T$43*$P$9)/$P$9,"")</f>
        <v/>
      </c>
      <c r="L109" s="25" t="str">
        <f>IFERROR(($D109/50-_xlfn.XLOOKUP($H109,$O$48:$O$62,$T$48:$T$62)*$P$14)/$P$9,"")</f>
        <v/>
      </c>
      <c r="M109" s="14">
        <f t="shared" si="1"/>
        <v>0</v>
      </c>
    </row>
    <row r="110" spans="2:15" x14ac:dyDescent="0.25">
      <c r="B110" s="10" t="str">
        <f>IF('Importér data'!C121="type",'Importér data'!F121,"")</f>
        <v/>
      </c>
      <c r="C110" s="10">
        <f>'Importér data'!H121</f>
        <v>0</v>
      </c>
      <c r="D110" s="32" t="str">
        <f>IF('Importér data'!C121="type",'Importér data'!N121,"")</f>
        <v/>
      </c>
      <c r="E110" s="24"/>
      <c r="F110" s="45"/>
      <c r="G110" s="45"/>
      <c r="H110" s="24"/>
      <c r="I110" s="25" t="str">
        <f>IFERROR(($D110/50-_xlfn.XLOOKUP($E110,$O$35:$O$43,$T$35:$T$43)*F110)/$P$9,"")</f>
        <v/>
      </c>
      <c r="J110" s="25" t="str">
        <f>IFERROR(_xlfn.XLOOKUP($E110,$O$35:$O$43,$T$35:$T$43)*G110/$P$9,"")</f>
        <v/>
      </c>
      <c r="K110" s="25" t="str">
        <f>IF(E110=$O$43,($D110/50-$T$43*$P$9)/$P$9,"")</f>
        <v/>
      </c>
      <c r="L110" s="25" t="str">
        <f>IFERROR(($D110/50-_xlfn.XLOOKUP($H110,$O$48:$O$62,$T$48:$T$62)*$P$14)/$P$9,"")</f>
        <v/>
      </c>
      <c r="M110" s="14">
        <f t="shared" si="1"/>
        <v>0</v>
      </c>
    </row>
    <row r="111" spans="2:15" x14ac:dyDescent="0.25">
      <c r="B111" s="10" t="str">
        <f>IF('Importér data'!C122="type",'Importér data'!F122,"")</f>
        <v/>
      </c>
      <c r="C111" s="10">
        <f>'Importér data'!H122</f>
        <v>0</v>
      </c>
      <c r="D111" s="32" t="str">
        <f>IF('Importér data'!C122="type",'Importér data'!N122,"")</f>
        <v/>
      </c>
      <c r="E111" s="24"/>
      <c r="F111" s="45"/>
      <c r="G111" s="45"/>
      <c r="H111" s="24"/>
      <c r="I111" s="25" t="str">
        <f>IFERROR(($D111/50-_xlfn.XLOOKUP($E111,$O$35:$O$43,$T$35:$T$43)*F111)/$P$9,"")</f>
        <v/>
      </c>
      <c r="J111" s="25" t="str">
        <f>IFERROR(_xlfn.XLOOKUP($E111,$O$35:$O$43,$T$35:$T$43)*G111/$P$9,"")</f>
        <v/>
      </c>
      <c r="K111" s="25" t="str">
        <f>IF(E111=$O$43,($D111/50-$T$43*$P$9)/$P$9,"")</f>
        <v/>
      </c>
      <c r="L111" s="25" t="str">
        <f>IFERROR(($D111/50-_xlfn.XLOOKUP($H111,$O$48:$O$62,$T$48:$T$62)*$P$14)/$P$9,"")</f>
        <v/>
      </c>
      <c r="M111" s="14">
        <f t="shared" si="1"/>
        <v>0</v>
      </c>
    </row>
    <row r="112" spans="2:15" x14ac:dyDescent="0.25">
      <c r="B112" s="10" t="str">
        <f>IF('Importér data'!C123="type",'Importér data'!F123,"")</f>
        <v/>
      </c>
      <c r="C112" s="10">
        <f>'Importér data'!H123</f>
        <v>0</v>
      </c>
      <c r="D112" s="32" t="str">
        <f>IF('Importér data'!C123="type",'Importér data'!N123,"")</f>
        <v/>
      </c>
      <c r="E112" s="24"/>
      <c r="F112" s="45"/>
      <c r="G112" s="45"/>
      <c r="H112" s="24"/>
      <c r="I112" s="25" t="str">
        <f>IFERROR(($D112/50-_xlfn.XLOOKUP($E112,$O$35:$O$43,$T$35:$T$43)*F112)/$P$9,"")</f>
        <v/>
      </c>
      <c r="J112" s="25" t="str">
        <f>IFERROR(_xlfn.XLOOKUP($E112,$O$35:$O$43,$T$35:$T$43)*G112/$P$9,"")</f>
        <v/>
      </c>
      <c r="K112" s="25" t="str">
        <f>IF(E112=$O$43,($D112/50-$T$43*$P$9)/$P$9,"")</f>
        <v/>
      </c>
      <c r="L112" s="25" t="str">
        <f>IFERROR(($D112/50-_xlfn.XLOOKUP($H112,$O$48:$O$62,$T$48:$T$62)*$P$14)/$P$9,"")</f>
        <v/>
      </c>
      <c r="M112" s="14">
        <f t="shared" si="1"/>
        <v>0</v>
      </c>
    </row>
    <row r="113" spans="2:13" x14ac:dyDescent="0.25">
      <c r="B113" s="10" t="str">
        <f>IF('Importér data'!C124="type",'Importér data'!F124,"")</f>
        <v/>
      </c>
      <c r="C113" s="10">
        <f>'Importér data'!H124</f>
        <v>0</v>
      </c>
      <c r="D113" s="32" t="str">
        <f>IF('Importér data'!C124="type",'Importér data'!N124,"")</f>
        <v/>
      </c>
      <c r="E113" s="24"/>
      <c r="F113" s="45"/>
      <c r="G113" s="45"/>
      <c r="H113" s="24"/>
      <c r="I113" s="25" t="str">
        <f>IFERROR(($D113/50-_xlfn.XLOOKUP($E113,$O$35:$O$43,$T$35:$T$43)*F113)/$P$9,"")</f>
        <v/>
      </c>
      <c r="J113" s="25" t="str">
        <f>IFERROR(_xlfn.XLOOKUP($E113,$O$35:$O$43,$T$35:$T$43)*G113/$P$9,"")</f>
        <v/>
      </c>
      <c r="K113" s="25" t="str">
        <f>IF(E113=$O$43,($D113/50-$T$43*$P$9)/$P$9,"")</f>
        <v/>
      </c>
      <c r="L113" s="25" t="str">
        <f>IFERROR(($D113/50-_xlfn.XLOOKUP($H113,$O$48:$O$62,$T$48:$T$62)*$P$14)/$P$9,"")</f>
        <v/>
      </c>
      <c r="M113" s="14">
        <f t="shared" si="1"/>
        <v>0</v>
      </c>
    </row>
    <row r="114" spans="2:13" x14ac:dyDescent="0.25">
      <c r="B114" s="10" t="str">
        <f>IF('Importér data'!C125="type",'Importér data'!F125,"")</f>
        <v/>
      </c>
      <c r="C114" s="10">
        <f>'Importér data'!H125</f>
        <v>0</v>
      </c>
      <c r="D114" s="32" t="str">
        <f>IF('Importér data'!C125="type",'Importér data'!N125,"")</f>
        <v/>
      </c>
      <c r="E114" s="24"/>
      <c r="F114" s="45"/>
      <c r="G114" s="45"/>
      <c r="H114" s="24"/>
      <c r="I114" s="25" t="str">
        <f>IFERROR(($D114/50-_xlfn.XLOOKUP($E114,$O$35:$O$43,$T$35:$T$43)*F114)/$P$9,"")</f>
        <v/>
      </c>
      <c r="J114" s="25" t="str">
        <f>IFERROR(_xlfn.XLOOKUP($E114,$O$35:$O$43,$T$35:$T$43)*G114/$P$9,"")</f>
        <v/>
      </c>
      <c r="K114" s="25" t="str">
        <f>IF(E114=$O$43,($D114/50-$T$43*$P$9)/$P$9,"")</f>
        <v/>
      </c>
      <c r="L114" s="25" t="str">
        <f>IFERROR(($D114/50-_xlfn.XLOOKUP($H114,$O$48:$O$62,$T$48:$T$62)*$P$14)/$P$9,"")</f>
        <v/>
      </c>
      <c r="M114" s="14">
        <f t="shared" si="1"/>
        <v>0</v>
      </c>
    </row>
    <row r="115" spans="2:13" x14ac:dyDescent="0.25">
      <c r="B115" s="10" t="str">
        <f>IF('Importér data'!C126="type",'Importér data'!F126,"")</f>
        <v/>
      </c>
      <c r="C115" s="10">
        <f>'Importér data'!H126</f>
        <v>0</v>
      </c>
      <c r="D115" s="32" t="str">
        <f>IF('Importér data'!C126="type",'Importér data'!N126,"")</f>
        <v/>
      </c>
      <c r="E115" s="24"/>
      <c r="F115" s="45"/>
      <c r="G115" s="45"/>
      <c r="H115" s="24"/>
      <c r="I115" s="25" t="str">
        <f>IFERROR(($D115/50-_xlfn.XLOOKUP($E115,$O$35:$O$43,$T$35:$T$43)*F115)/$P$9,"")</f>
        <v/>
      </c>
      <c r="J115" s="25" t="str">
        <f>IFERROR(_xlfn.XLOOKUP($E115,$O$35:$O$43,$T$35:$T$43)*G115/$P$9,"")</f>
        <v/>
      </c>
      <c r="K115" s="25" t="str">
        <f>IF(E115=$O$43,($D115/50-$T$43*$P$9)/$P$9,"")</f>
        <v/>
      </c>
      <c r="L115" s="25" t="str">
        <f>IFERROR(($D115/50-_xlfn.XLOOKUP($H115,$O$48:$O$62,$T$48:$T$62)*$P$14)/$P$9,"")</f>
        <v/>
      </c>
      <c r="M115" s="14">
        <f t="shared" si="1"/>
        <v>0</v>
      </c>
    </row>
    <row r="116" spans="2:13" x14ac:dyDescent="0.25">
      <c r="B116" s="10" t="str">
        <f>IF('Importér data'!C127="type",'Importér data'!F127,"")</f>
        <v/>
      </c>
      <c r="C116" s="10">
        <f>'Importér data'!H127</f>
        <v>0</v>
      </c>
      <c r="D116" s="32" t="str">
        <f>IF('Importér data'!C127="type",'Importér data'!N127,"")</f>
        <v/>
      </c>
      <c r="E116" s="24"/>
      <c r="F116" s="45"/>
      <c r="G116" s="45"/>
      <c r="H116" s="24"/>
      <c r="I116" s="25" t="str">
        <f>IFERROR(($D116/50-_xlfn.XLOOKUP($E116,$O$35:$O$43,$T$35:$T$43)*F116)/$P$9,"")</f>
        <v/>
      </c>
      <c r="J116" s="25" t="str">
        <f>IFERROR(_xlfn.XLOOKUP($E116,$O$35:$O$43,$T$35:$T$43)*G116/$P$9,"")</f>
        <v/>
      </c>
      <c r="K116" s="25" t="str">
        <f>IF(E116=$O$43,($D116/50-$T$43*$P$9)/$P$9,"")</f>
        <v/>
      </c>
      <c r="L116" s="25" t="str">
        <f>IFERROR(($D116/50-_xlfn.XLOOKUP($H116,$O$48:$O$62,$T$48:$T$62)*$P$14)/$P$9,"")</f>
        <v/>
      </c>
      <c r="M116" s="14">
        <f t="shared" si="1"/>
        <v>0</v>
      </c>
    </row>
    <row r="117" spans="2:13" x14ac:dyDescent="0.25">
      <c r="B117" s="10" t="str">
        <f>IF('Importér data'!C128="type",'Importér data'!F128,"")</f>
        <v/>
      </c>
      <c r="C117" s="10">
        <f>'Importér data'!H128</f>
        <v>0</v>
      </c>
      <c r="D117" s="32" t="str">
        <f>IF('Importér data'!C128="type",'Importér data'!N128,"")</f>
        <v/>
      </c>
      <c r="E117" s="24"/>
      <c r="F117" s="45"/>
      <c r="G117" s="45"/>
      <c r="H117" s="24"/>
      <c r="I117" s="25" t="str">
        <f>IFERROR(($D117/50-_xlfn.XLOOKUP($E117,$O$35:$O$43,$T$35:$T$43)*F117)/$P$9,"")</f>
        <v/>
      </c>
      <c r="J117" s="25" t="str">
        <f>IFERROR(_xlfn.XLOOKUP($E117,$O$35:$O$43,$T$35:$T$43)*G117/$P$9,"")</f>
        <v/>
      </c>
      <c r="K117" s="25" t="str">
        <f>IF(E117=$O$43,($D117/50-$T$43*$P$9)/$P$9,"")</f>
        <v/>
      </c>
      <c r="L117" s="25" t="str">
        <f>IFERROR(($D117/50-_xlfn.XLOOKUP($H117,$O$48:$O$62,$T$48:$T$62)*$P$14)/$P$9,"")</f>
        <v/>
      </c>
      <c r="M117" s="14">
        <f t="shared" si="1"/>
        <v>0</v>
      </c>
    </row>
    <row r="118" spans="2:13" x14ac:dyDescent="0.25">
      <c r="B118" s="10" t="str">
        <f>IF('Importér data'!C129="type",'Importér data'!F129,"")</f>
        <v/>
      </c>
      <c r="C118" s="10">
        <f>'Importér data'!H129</f>
        <v>0</v>
      </c>
      <c r="D118" s="32" t="str">
        <f>IF('Importér data'!C129="type",'Importér data'!N129,"")</f>
        <v/>
      </c>
      <c r="E118" s="24"/>
      <c r="F118" s="45"/>
      <c r="G118" s="45"/>
      <c r="H118" s="24"/>
      <c r="I118" s="25" t="str">
        <f>IFERROR(($D118/50-_xlfn.XLOOKUP($E118,$O$35:$O$43,$T$35:$T$43)*F118)/$P$9,"")</f>
        <v/>
      </c>
      <c r="J118" s="25" t="str">
        <f>IFERROR(_xlfn.XLOOKUP($E118,$O$35:$O$43,$T$35:$T$43)*G118/$P$9,"")</f>
        <v/>
      </c>
      <c r="K118" s="25" t="str">
        <f>IF(E118=$O$43,($D118/50-$T$43*$P$9)/$P$9,"")</f>
        <v/>
      </c>
      <c r="L118" s="25" t="str">
        <f>IFERROR(($D118/50-_xlfn.XLOOKUP($H118,$O$48:$O$62,$T$48:$T$62)*$P$14)/$P$9,"")</f>
        <v/>
      </c>
      <c r="M118" s="14">
        <f t="shared" si="1"/>
        <v>0</v>
      </c>
    </row>
    <row r="119" spans="2:13" x14ac:dyDescent="0.25">
      <c r="B119" s="10" t="str">
        <f>IF('Importér data'!C130="type",'Importér data'!F130,"")</f>
        <v/>
      </c>
      <c r="C119" s="10">
        <f>'Importér data'!H130</f>
        <v>0</v>
      </c>
      <c r="D119" s="32" t="str">
        <f>IF('Importér data'!C130="type",'Importér data'!N130,"")</f>
        <v/>
      </c>
      <c r="E119" s="24"/>
      <c r="F119" s="45"/>
      <c r="G119" s="45"/>
      <c r="H119" s="24"/>
      <c r="I119" s="25" t="str">
        <f>IFERROR(($D119/50-_xlfn.XLOOKUP($E119,$O$35:$O$43,$T$35:$T$43)*F119)/$P$9,"")</f>
        <v/>
      </c>
      <c r="J119" s="25" t="str">
        <f>IFERROR(_xlfn.XLOOKUP($E119,$O$35:$O$43,$T$35:$T$43)*G119/$P$9,"")</f>
        <v/>
      </c>
      <c r="K119" s="25" t="str">
        <f>IF(E119=$O$43,($D119/50-$T$43*$P$9)/$P$9,"")</f>
        <v/>
      </c>
      <c r="L119" s="25" t="str">
        <f>IFERROR(($D119/50-_xlfn.XLOOKUP($H119,$O$48:$O$62,$T$48:$T$62)*$P$14)/$P$9,"")</f>
        <v/>
      </c>
      <c r="M119" s="14">
        <f t="shared" si="1"/>
        <v>0</v>
      </c>
    </row>
    <row r="120" spans="2:13" x14ac:dyDescent="0.25">
      <c r="B120" s="10" t="str">
        <f>IF('Importér data'!C131="type",'Importér data'!F131,"")</f>
        <v/>
      </c>
      <c r="C120" s="10">
        <f>'Importér data'!H131</f>
        <v>0</v>
      </c>
      <c r="D120" s="32" t="str">
        <f>IF('Importér data'!C131="type",'Importér data'!N131,"")</f>
        <v/>
      </c>
      <c r="E120" s="24"/>
      <c r="F120" s="45"/>
      <c r="G120" s="45"/>
      <c r="H120" s="24"/>
      <c r="I120" s="25" t="str">
        <f>IFERROR(($D120/50-_xlfn.XLOOKUP($E120,$O$35:$O$43,$T$35:$T$43)*F120)/$P$9,"")</f>
        <v/>
      </c>
      <c r="J120" s="25" t="str">
        <f>IFERROR(_xlfn.XLOOKUP($E120,$O$35:$O$43,$T$35:$T$43)*G120/$P$9,"")</f>
        <v/>
      </c>
      <c r="K120" s="25" t="str">
        <f>IF(E120=$O$43,($D120/50-$T$43*$P$9)/$P$9,"")</f>
        <v/>
      </c>
      <c r="L120" s="25" t="str">
        <f>IFERROR(($D120/50-_xlfn.XLOOKUP($H120,$O$48:$O$62,$T$48:$T$62)*$P$14)/$P$9,"")</f>
        <v/>
      </c>
      <c r="M120" s="14">
        <f t="shared" si="1"/>
        <v>0</v>
      </c>
    </row>
    <row r="121" spans="2:13" x14ac:dyDescent="0.25">
      <c r="B121" s="10" t="str">
        <f>IF('Importér data'!C132="type",'Importér data'!F132,"")</f>
        <v/>
      </c>
      <c r="C121" s="10">
        <f>'Importér data'!H132</f>
        <v>0</v>
      </c>
      <c r="D121" s="32" t="str">
        <f>IF('Importér data'!C132="type",'Importér data'!N132,"")</f>
        <v/>
      </c>
      <c r="E121" s="24"/>
      <c r="F121" s="45"/>
      <c r="G121" s="45"/>
      <c r="H121" s="24"/>
      <c r="I121" s="25" t="str">
        <f>IFERROR(($D121/50-_xlfn.XLOOKUP($E121,$O$35:$O$43,$T$35:$T$43)*F121)/$P$9,"")</f>
        <v/>
      </c>
      <c r="J121" s="25" t="str">
        <f>IFERROR(_xlfn.XLOOKUP($E121,$O$35:$O$43,$T$35:$T$43)*G121/$P$9,"")</f>
        <v/>
      </c>
      <c r="K121" s="25" t="str">
        <f>IF(E121=$O$43,($D121/50-$T$43*$P$9)/$P$9,"")</f>
        <v/>
      </c>
      <c r="L121" s="25" t="str">
        <f>IFERROR(($D121/50-_xlfn.XLOOKUP($H121,$O$48:$O$62,$T$48:$T$62)*$P$14)/$P$9,"")</f>
        <v/>
      </c>
      <c r="M121" s="14">
        <f t="shared" si="1"/>
        <v>0</v>
      </c>
    </row>
    <row r="122" spans="2:13" x14ac:dyDescent="0.25">
      <c r="B122" s="10" t="str">
        <f>IF('Importér data'!C133="type",'Importér data'!F133,"")</f>
        <v/>
      </c>
      <c r="C122" s="10">
        <f>'Importér data'!H133</f>
        <v>0</v>
      </c>
      <c r="D122" s="32" t="str">
        <f>IF('Importér data'!C133="type",'Importér data'!N133,"")</f>
        <v/>
      </c>
      <c r="E122" s="24"/>
      <c r="F122" s="45"/>
      <c r="G122" s="45"/>
      <c r="H122" s="24"/>
      <c r="I122" s="25" t="str">
        <f>IFERROR(($D122/50-_xlfn.XLOOKUP($E122,$O$35:$O$43,$T$35:$T$43)*F122)/$P$9,"")</f>
        <v/>
      </c>
      <c r="J122" s="25" t="str">
        <f>IFERROR(_xlfn.XLOOKUP($E122,$O$35:$O$43,$T$35:$T$43)*G122/$P$9,"")</f>
        <v/>
      </c>
      <c r="K122" s="25" t="str">
        <f>IF(E122=$O$43,($D122/50-$T$43*$P$9)/$P$9,"")</f>
        <v/>
      </c>
      <c r="L122" s="25" t="str">
        <f>IFERROR(($D122/50-_xlfn.XLOOKUP($H122,$O$48:$O$62,$T$48:$T$62)*$P$14)/$P$9,"")</f>
        <v/>
      </c>
      <c r="M122" s="14">
        <f t="shared" si="1"/>
        <v>0</v>
      </c>
    </row>
    <row r="123" spans="2:13" x14ac:dyDescent="0.25">
      <c r="B123" s="10" t="str">
        <f>IF('Importér data'!C134="type",'Importér data'!F134,"")</f>
        <v/>
      </c>
      <c r="C123" s="10">
        <f>'Importér data'!H134</f>
        <v>0</v>
      </c>
      <c r="D123" s="32" t="str">
        <f>IF('Importér data'!C134="type",'Importér data'!N134,"")</f>
        <v/>
      </c>
      <c r="E123" s="24"/>
      <c r="F123" s="45"/>
      <c r="G123" s="45"/>
      <c r="H123" s="24"/>
      <c r="I123" s="25" t="str">
        <f>IFERROR(($D123/50-_xlfn.XLOOKUP($E123,$O$35:$O$43,$T$35:$T$43)*F123)/$P$9,"")</f>
        <v/>
      </c>
      <c r="J123" s="25" t="str">
        <f>IFERROR(_xlfn.XLOOKUP($E123,$O$35:$O$43,$T$35:$T$43)*G123/$P$9,"")</f>
        <v/>
      </c>
      <c r="K123" s="25" t="str">
        <f>IF(E123=$O$43,($D123/50-$T$43*$P$9)/$P$9,"")</f>
        <v/>
      </c>
      <c r="L123" s="25" t="str">
        <f>IFERROR(($D123/50-_xlfn.XLOOKUP($H123,$O$48:$O$62,$T$48:$T$62)*$P$14)/$P$9,"")</f>
        <v/>
      </c>
      <c r="M123" s="14">
        <f t="shared" si="1"/>
        <v>0</v>
      </c>
    </row>
    <row r="124" spans="2:13" x14ac:dyDescent="0.25">
      <c r="B124" s="10" t="str">
        <f>IF('Importér data'!C135="type",'Importér data'!F135,"")</f>
        <v/>
      </c>
      <c r="C124" s="10">
        <f>'Importér data'!H135</f>
        <v>0</v>
      </c>
      <c r="D124" s="32" t="str">
        <f>IF('Importér data'!C135="type",'Importér data'!N135,"")</f>
        <v/>
      </c>
      <c r="E124" s="24"/>
      <c r="F124" s="45"/>
      <c r="G124" s="45"/>
      <c r="H124" s="24"/>
      <c r="I124" s="25" t="str">
        <f>IFERROR(($D124/50-_xlfn.XLOOKUP($E124,$O$35:$O$43,$T$35:$T$43)*F124)/$P$9,"")</f>
        <v/>
      </c>
      <c r="J124" s="25" t="str">
        <f>IFERROR(_xlfn.XLOOKUP($E124,$O$35:$O$43,$T$35:$T$43)*G124/$P$9,"")</f>
        <v/>
      </c>
      <c r="K124" s="25" t="str">
        <f>IF(E124=$O$43,($D124/50-$T$43*$P$9)/$P$9,"")</f>
        <v/>
      </c>
      <c r="L124" s="25" t="str">
        <f>IFERROR(($D124/50-_xlfn.XLOOKUP($H124,$O$48:$O$62,$T$48:$T$62)*$P$14)/$P$9,"")</f>
        <v/>
      </c>
      <c r="M124" s="14">
        <f t="shared" si="1"/>
        <v>0</v>
      </c>
    </row>
    <row r="125" spans="2:13" x14ac:dyDescent="0.25">
      <c r="B125" s="10" t="str">
        <f>IF('Importér data'!C136="type",'Importér data'!F136,"")</f>
        <v/>
      </c>
      <c r="C125" s="10">
        <f>'Importér data'!H136</f>
        <v>0</v>
      </c>
      <c r="D125" s="32" t="str">
        <f>IF('Importér data'!C136="type",'Importér data'!N136,"")</f>
        <v/>
      </c>
      <c r="E125" s="24"/>
      <c r="F125" s="45"/>
      <c r="G125" s="45"/>
      <c r="H125" s="24"/>
      <c r="I125" s="25" t="str">
        <f>IFERROR(($D125/50-_xlfn.XLOOKUP($E125,$O$35:$O$43,$T$35:$T$43)*F125)/$P$9,"")</f>
        <v/>
      </c>
      <c r="J125" s="25" t="str">
        <f>IFERROR(_xlfn.XLOOKUP($E125,$O$35:$O$43,$T$35:$T$43)*G125/$P$9,"")</f>
        <v/>
      </c>
      <c r="K125" s="25" t="str">
        <f>IF(E125=$O$43,($D125/50-$T$43*$P$9)/$P$9,"")</f>
        <v/>
      </c>
      <c r="L125" s="25" t="str">
        <f>IFERROR(($D125/50-_xlfn.XLOOKUP($H125,$O$48:$O$62,$T$48:$T$62)*$P$14)/$P$9,"")</f>
        <v/>
      </c>
      <c r="M125" s="14">
        <f t="shared" si="1"/>
        <v>0</v>
      </c>
    </row>
    <row r="126" spans="2:13" x14ac:dyDescent="0.25">
      <c r="B126" s="10" t="str">
        <f>IF('Importér data'!C137="type",'Importér data'!F137,"")</f>
        <v/>
      </c>
      <c r="C126" s="10">
        <f>'Importér data'!H137</f>
        <v>0</v>
      </c>
      <c r="D126" s="32" t="str">
        <f>IF('Importér data'!C137="type",'Importér data'!N137,"")</f>
        <v/>
      </c>
      <c r="E126" s="24"/>
      <c r="F126" s="45"/>
      <c r="G126" s="45"/>
      <c r="H126" s="24"/>
      <c r="I126" s="25" t="str">
        <f>IFERROR(($D126/50-_xlfn.XLOOKUP($E126,$O$35:$O$43,$T$35:$T$43)*F126)/$P$9,"")</f>
        <v/>
      </c>
      <c r="J126" s="25" t="str">
        <f>IFERROR(_xlfn.XLOOKUP($E126,$O$35:$O$43,$T$35:$T$43)*G126/$P$9,"")</f>
        <v/>
      </c>
      <c r="K126" s="25" t="str">
        <f>IF(E126=$O$43,($D126/50-$T$43*$P$9)/$P$9,"")</f>
        <v/>
      </c>
      <c r="L126" s="25" t="str">
        <f>IFERROR(($D126/50-_xlfn.XLOOKUP($H126,$O$48:$O$62,$T$48:$T$62)*$P$14)/$P$9,"")</f>
        <v/>
      </c>
      <c r="M126" s="14">
        <f t="shared" si="1"/>
        <v>0</v>
      </c>
    </row>
    <row r="127" spans="2:13" x14ac:dyDescent="0.25">
      <c r="B127" s="10" t="str">
        <f>IF('Importér data'!C138="type",'Importér data'!F138,"")</f>
        <v/>
      </c>
      <c r="C127" s="10">
        <f>'Importér data'!H138</f>
        <v>0</v>
      </c>
      <c r="D127" s="32" t="str">
        <f>IF('Importér data'!C138="type",'Importér data'!N138,"")</f>
        <v/>
      </c>
      <c r="E127" s="24"/>
      <c r="F127" s="45"/>
      <c r="G127" s="45"/>
      <c r="H127" s="24"/>
      <c r="I127" s="25" t="str">
        <f>IFERROR(($D127/50-_xlfn.XLOOKUP($E127,$O$35:$O$43,$T$35:$T$43)*F127)/$P$9,"")</f>
        <v/>
      </c>
      <c r="J127" s="25" t="str">
        <f>IFERROR(_xlfn.XLOOKUP($E127,$O$35:$O$43,$T$35:$T$43)*G127/$P$9,"")</f>
        <v/>
      </c>
      <c r="K127" s="25" t="str">
        <f>IF(E127=$O$43,($D127/50-$T$43*$P$9)/$P$9,"")</f>
        <v/>
      </c>
      <c r="L127" s="25" t="str">
        <f>IFERROR(($D127/50-_xlfn.XLOOKUP($H127,$O$48:$O$62,$T$48:$T$62)*$P$14)/$P$9,"")</f>
        <v/>
      </c>
      <c r="M127" s="14">
        <f t="shared" si="1"/>
        <v>0</v>
      </c>
    </row>
    <row r="128" spans="2:13" x14ac:dyDescent="0.25">
      <c r="B128" s="10" t="str">
        <f>IF('Importér data'!C139="type",'Importér data'!F139,"")</f>
        <v/>
      </c>
      <c r="C128" s="10">
        <f>'Importér data'!H139</f>
        <v>0</v>
      </c>
      <c r="D128" s="32" t="str">
        <f>IF('Importér data'!C139="type",'Importér data'!N139,"")</f>
        <v/>
      </c>
      <c r="E128" s="24"/>
      <c r="F128" s="45"/>
      <c r="G128" s="45"/>
      <c r="H128" s="24"/>
      <c r="I128" s="25" t="str">
        <f>IFERROR(($D128/50-_xlfn.XLOOKUP($E128,$O$35:$O$43,$T$35:$T$43)*F128)/$P$9,"")</f>
        <v/>
      </c>
      <c r="J128" s="25" t="str">
        <f>IFERROR(_xlfn.XLOOKUP($E128,$O$35:$O$43,$T$35:$T$43)*G128/$P$9,"")</f>
        <v/>
      </c>
      <c r="K128" s="25" t="str">
        <f>IF(E128=$O$43,($D128/50-$T$43*$P$9)/$P$9,"")</f>
        <v/>
      </c>
      <c r="L128" s="25" t="str">
        <f>IFERROR(($D128/50-_xlfn.XLOOKUP($H128,$O$48:$O$62,$T$48:$T$62)*$P$14)/$P$9,"")</f>
        <v/>
      </c>
      <c r="M128" s="14">
        <f t="shared" si="1"/>
        <v>0</v>
      </c>
    </row>
    <row r="129" spans="2:13" x14ac:dyDescent="0.25">
      <c r="B129" s="10" t="str">
        <f>IF('Importér data'!C140="type",'Importér data'!F140,"")</f>
        <v/>
      </c>
      <c r="C129" s="10">
        <f>'Importér data'!H140</f>
        <v>0</v>
      </c>
      <c r="D129" s="32" t="str">
        <f>IF('Importér data'!C140="type",'Importér data'!N140,"")</f>
        <v/>
      </c>
      <c r="E129" s="24"/>
      <c r="F129" s="45"/>
      <c r="G129" s="45"/>
      <c r="H129" s="24"/>
      <c r="I129" s="25" t="str">
        <f>IFERROR(($D129/50-_xlfn.XLOOKUP($E129,$O$35:$O$43,$T$35:$T$43)*F129)/$P$9,"")</f>
        <v/>
      </c>
      <c r="J129" s="25" t="str">
        <f>IFERROR(_xlfn.XLOOKUP($E129,$O$35:$O$43,$T$35:$T$43)*G129/$P$9,"")</f>
        <v/>
      </c>
      <c r="K129" s="25" t="str">
        <f>IF(E129=$O$43,($D129/50-$T$43*$P$9)/$P$9,"")</f>
        <v/>
      </c>
      <c r="L129" s="25" t="str">
        <f>IFERROR(($D129/50-_xlfn.XLOOKUP($H129,$O$48:$O$62,$T$48:$T$62)*$P$14)/$P$9,"")</f>
        <v/>
      </c>
      <c r="M129" s="14">
        <f t="shared" si="1"/>
        <v>0</v>
      </c>
    </row>
    <row r="130" spans="2:13" x14ac:dyDescent="0.25">
      <c r="B130" s="10" t="str">
        <f>IF('Importér data'!C141="type",'Importér data'!F141,"")</f>
        <v/>
      </c>
      <c r="C130" s="10">
        <f>'Importér data'!H141</f>
        <v>0</v>
      </c>
      <c r="D130" s="32" t="str">
        <f>IF('Importér data'!C141="type",'Importér data'!N141,"")</f>
        <v/>
      </c>
      <c r="E130" s="24"/>
      <c r="F130" s="45"/>
      <c r="G130" s="45"/>
      <c r="H130" s="24"/>
      <c r="I130" s="25" t="str">
        <f>IFERROR(($D130/50-_xlfn.XLOOKUP($E130,$O$35:$O$43,$T$35:$T$43)*F130)/$P$9,"")</f>
        <v/>
      </c>
      <c r="J130" s="25" t="str">
        <f>IFERROR(_xlfn.XLOOKUP($E130,$O$35:$O$43,$T$35:$T$43)*G130/$P$9,"")</f>
        <v/>
      </c>
      <c r="K130" s="25" t="str">
        <f>IF(E130=$O$43,($D130/50-$T$43*$P$9)/$P$9,"")</f>
        <v/>
      </c>
      <c r="L130" s="25" t="str">
        <f>IFERROR(($D130/50-_xlfn.XLOOKUP($H130,$O$48:$O$62,$T$48:$T$62)*$P$14)/$P$9,"")</f>
        <v/>
      </c>
      <c r="M130" s="14">
        <f t="shared" si="1"/>
        <v>0</v>
      </c>
    </row>
    <row r="131" spans="2:13" x14ac:dyDescent="0.25">
      <c r="B131" s="10" t="str">
        <f>IF('Importér data'!C142="type",'Importér data'!F142,"")</f>
        <v/>
      </c>
      <c r="C131" s="10">
        <f>'Importér data'!H142</f>
        <v>0</v>
      </c>
      <c r="D131" s="32" t="str">
        <f>IF('Importér data'!C142="type",'Importér data'!N142,"")</f>
        <v/>
      </c>
      <c r="E131" s="24"/>
      <c r="F131" s="45"/>
      <c r="G131" s="45"/>
      <c r="H131" s="24"/>
      <c r="I131" s="25" t="str">
        <f>IFERROR(($D131/50-_xlfn.XLOOKUP($E131,$O$35:$O$43,$T$35:$T$43)*F131)/$P$9,"")</f>
        <v/>
      </c>
      <c r="J131" s="25" t="str">
        <f>IFERROR(_xlfn.XLOOKUP($E131,$O$35:$O$43,$T$35:$T$43)*G131/$P$9,"")</f>
        <v/>
      </c>
      <c r="K131" s="25" t="str">
        <f>IF(E131=$O$43,($D131/50-$T$43*$P$9)/$P$9,"")</f>
        <v/>
      </c>
      <c r="L131" s="25" t="str">
        <f>IFERROR(($D131/50-_xlfn.XLOOKUP($H131,$O$48:$O$62,$T$48:$T$62)*$P$14)/$P$9,"")</f>
        <v/>
      </c>
      <c r="M131" s="14">
        <f t="shared" si="1"/>
        <v>0</v>
      </c>
    </row>
    <row r="132" spans="2:13" x14ac:dyDescent="0.25">
      <c r="B132" s="10" t="str">
        <f>IF('Importér data'!C143="type",'Importér data'!F143,"")</f>
        <v/>
      </c>
      <c r="C132" s="10">
        <f>'Importér data'!H143</f>
        <v>0</v>
      </c>
      <c r="D132" s="32" t="str">
        <f>IF('Importér data'!C143="type",'Importér data'!N143,"")</f>
        <v/>
      </c>
      <c r="E132" s="24"/>
      <c r="F132" s="45"/>
      <c r="G132" s="45"/>
      <c r="H132" s="24"/>
      <c r="I132" s="25" t="str">
        <f>IFERROR(($D132/50-_xlfn.XLOOKUP($E132,$O$35:$O$43,$T$35:$T$43)*F132)/$P$9,"")</f>
        <v/>
      </c>
      <c r="J132" s="25" t="str">
        <f>IFERROR(_xlfn.XLOOKUP($E132,$O$35:$O$43,$T$35:$T$43)*G132/$P$9,"")</f>
        <v/>
      </c>
      <c r="K132" s="25" t="str">
        <f>IF(E132=$O$43,($D132/50-$T$43*$P$9)/$P$9,"")</f>
        <v/>
      </c>
      <c r="L132" s="25" t="str">
        <f>IFERROR(($D132/50-_xlfn.XLOOKUP($H132,$O$48:$O$62,$T$48:$T$62)*$P$14)/$P$9,"")</f>
        <v/>
      </c>
      <c r="M132" s="14">
        <f t="shared" si="1"/>
        <v>0</v>
      </c>
    </row>
    <row r="133" spans="2:13" x14ac:dyDescent="0.25">
      <c r="B133" s="10" t="str">
        <f>IF('Importér data'!C144="type",'Importér data'!F144,"")</f>
        <v/>
      </c>
      <c r="C133" s="10">
        <f>'Importér data'!H144</f>
        <v>0</v>
      </c>
      <c r="D133" s="32" t="str">
        <f>IF('Importér data'!C144="type",'Importér data'!N144,"")</f>
        <v/>
      </c>
      <c r="E133" s="24"/>
      <c r="F133" s="45"/>
      <c r="G133" s="45"/>
      <c r="H133" s="24"/>
      <c r="I133" s="25" t="str">
        <f>IFERROR(($D133/50-_xlfn.XLOOKUP($E133,$O$35:$O$43,$T$35:$T$43)*F133)/$P$9,"")</f>
        <v/>
      </c>
      <c r="J133" s="25" t="str">
        <f>IFERROR(_xlfn.XLOOKUP($E133,$O$35:$O$43,$T$35:$T$43)*G133/$P$9,"")</f>
        <v/>
      </c>
      <c r="K133" s="25" t="str">
        <f>IF(E133=$O$43,($D133/50-$T$43*$P$9)/$P$9,"")</f>
        <v/>
      </c>
      <c r="L133" s="25" t="str">
        <f>IFERROR(($D133/50-_xlfn.XLOOKUP($H133,$O$48:$O$62,$T$48:$T$62)*$P$14)/$P$9,"")</f>
        <v/>
      </c>
      <c r="M133" s="14">
        <f t="shared" si="1"/>
        <v>0</v>
      </c>
    </row>
    <row r="134" spans="2:13" x14ac:dyDescent="0.25">
      <c r="B134" s="10" t="str">
        <f>IF('Importér data'!C145="type",'Importér data'!F145,"")</f>
        <v/>
      </c>
      <c r="C134" s="10">
        <f>'Importér data'!H145</f>
        <v>0</v>
      </c>
      <c r="D134" s="32" t="str">
        <f>IF('Importér data'!C145="type",'Importér data'!N145,"")</f>
        <v/>
      </c>
      <c r="E134" s="24"/>
      <c r="F134" s="45"/>
      <c r="G134" s="45"/>
      <c r="H134" s="24"/>
      <c r="I134" s="25" t="str">
        <f>IFERROR(($D134/50-_xlfn.XLOOKUP($E134,$O$35:$O$43,$T$35:$T$43)*F134)/$P$9,"")</f>
        <v/>
      </c>
      <c r="J134" s="25" t="str">
        <f>IFERROR(_xlfn.XLOOKUP($E134,$O$35:$O$43,$T$35:$T$43)*G134/$P$9,"")</f>
        <v/>
      </c>
      <c r="K134" s="25" t="str">
        <f>IF(E134=$O$43,($D134/50-$T$43*$P$9)/$P$9,"")</f>
        <v/>
      </c>
      <c r="L134" s="25" t="str">
        <f>IFERROR(($D134/50-_xlfn.XLOOKUP($H134,$O$48:$O$62,$T$48:$T$62)*$P$14)/$P$9,"")</f>
        <v/>
      </c>
      <c r="M134" s="14">
        <f t="shared" ref="M134:M197" si="2">SUM(I134:L134)</f>
        <v>0</v>
      </c>
    </row>
    <row r="135" spans="2:13" x14ac:dyDescent="0.25">
      <c r="B135" s="10" t="str">
        <f>IF('Importér data'!C146="type",'Importér data'!F146,"")</f>
        <v/>
      </c>
      <c r="C135" s="10">
        <f>'Importér data'!H146</f>
        <v>0</v>
      </c>
      <c r="D135" s="32" t="str">
        <f>IF('Importér data'!C146="type",'Importér data'!N146,"")</f>
        <v/>
      </c>
      <c r="E135" s="24"/>
      <c r="F135" s="45"/>
      <c r="G135" s="45"/>
      <c r="H135" s="24"/>
      <c r="I135" s="25" t="str">
        <f>IFERROR(($D135/50-_xlfn.XLOOKUP($E135,$O$35:$O$43,$T$35:$T$43)*F135)/$P$9,"")</f>
        <v/>
      </c>
      <c r="J135" s="25" t="str">
        <f>IFERROR(_xlfn.XLOOKUP($E135,$O$35:$O$43,$T$35:$T$43)*G135/$P$9,"")</f>
        <v/>
      </c>
      <c r="K135" s="25" t="str">
        <f>IF(E135=$O$43,($D135/50-$T$43*$P$9)/$P$9,"")</f>
        <v/>
      </c>
      <c r="L135" s="25" t="str">
        <f>IFERROR(($D135/50-_xlfn.XLOOKUP($H135,$O$48:$O$62,$T$48:$T$62)*$P$14)/$P$9,"")</f>
        <v/>
      </c>
      <c r="M135" s="14">
        <f t="shared" si="2"/>
        <v>0</v>
      </c>
    </row>
    <row r="136" spans="2:13" x14ac:dyDescent="0.25">
      <c r="B136" s="10" t="str">
        <f>IF('Importér data'!C147="type",'Importér data'!F147,"")</f>
        <v/>
      </c>
      <c r="C136" s="10">
        <f>'Importér data'!H147</f>
        <v>0</v>
      </c>
      <c r="D136" s="32" t="str">
        <f>IF('Importér data'!C147="type",'Importér data'!N147,"")</f>
        <v/>
      </c>
      <c r="E136" s="24"/>
      <c r="F136" s="45"/>
      <c r="G136" s="45"/>
      <c r="H136" s="24"/>
      <c r="I136" s="25" t="str">
        <f>IFERROR(($D136/50-_xlfn.XLOOKUP($E136,$O$35:$O$43,$T$35:$T$43)*F136)/$P$9,"")</f>
        <v/>
      </c>
      <c r="J136" s="25" t="str">
        <f>IFERROR(_xlfn.XLOOKUP($E136,$O$35:$O$43,$T$35:$T$43)*G136/$P$9,"")</f>
        <v/>
      </c>
      <c r="K136" s="25" t="str">
        <f>IF(E136=$O$43,($D136/50-$T$43*$P$9)/$P$9,"")</f>
        <v/>
      </c>
      <c r="L136" s="25" t="str">
        <f>IFERROR(($D136/50-_xlfn.XLOOKUP($H136,$O$48:$O$62,$T$48:$T$62)*$P$14)/$P$9,"")</f>
        <v/>
      </c>
      <c r="M136" s="14">
        <f t="shared" si="2"/>
        <v>0</v>
      </c>
    </row>
    <row r="137" spans="2:13" x14ac:dyDescent="0.25">
      <c r="B137" s="10" t="str">
        <f>IF('Importér data'!C148="type",'Importér data'!F148,"")</f>
        <v/>
      </c>
      <c r="C137" s="10">
        <f>'Importér data'!H148</f>
        <v>0</v>
      </c>
      <c r="D137" s="32" t="str">
        <f>IF('Importér data'!C148="type",'Importér data'!N148,"")</f>
        <v/>
      </c>
      <c r="E137" s="24"/>
      <c r="F137" s="45"/>
      <c r="G137" s="45"/>
      <c r="H137" s="24"/>
      <c r="I137" s="25" t="str">
        <f>IFERROR(($D137/50-_xlfn.XLOOKUP($E137,$O$35:$O$43,$T$35:$T$43)*F137)/$P$9,"")</f>
        <v/>
      </c>
      <c r="J137" s="25" t="str">
        <f>IFERROR(_xlfn.XLOOKUP($E137,$O$35:$O$43,$T$35:$T$43)*G137/$P$9,"")</f>
        <v/>
      </c>
      <c r="K137" s="25" t="str">
        <f>IF(E137=$O$43,($D137/50-$T$43*$P$9)/$P$9,"")</f>
        <v/>
      </c>
      <c r="L137" s="25" t="str">
        <f>IFERROR(($D137/50-_xlfn.XLOOKUP($H137,$O$48:$O$62,$T$48:$T$62)*$P$14)/$P$9,"")</f>
        <v/>
      </c>
      <c r="M137" s="14">
        <f t="shared" si="2"/>
        <v>0</v>
      </c>
    </row>
    <row r="138" spans="2:13" x14ac:dyDescent="0.25">
      <c r="B138" s="10" t="str">
        <f>IF('Importér data'!C149="type",'Importér data'!F149,"")</f>
        <v/>
      </c>
      <c r="C138" s="10">
        <f>'Importér data'!H149</f>
        <v>0</v>
      </c>
      <c r="D138" s="32" t="str">
        <f>IF('Importér data'!C149="type",'Importér data'!N149,"")</f>
        <v/>
      </c>
      <c r="E138" s="24"/>
      <c r="F138" s="45"/>
      <c r="G138" s="45"/>
      <c r="H138" s="24"/>
      <c r="I138" s="25" t="str">
        <f>IFERROR(($D138/50-_xlfn.XLOOKUP($E138,$O$35:$O$43,$T$35:$T$43)*F138)/$P$9,"")</f>
        <v/>
      </c>
      <c r="J138" s="25" t="str">
        <f>IFERROR(_xlfn.XLOOKUP($E138,$O$35:$O$43,$T$35:$T$43)*G138/$P$9,"")</f>
        <v/>
      </c>
      <c r="K138" s="25" t="str">
        <f>IF(E138=$O$43,($D138/50-$T$43*$P$9)/$P$9,"")</f>
        <v/>
      </c>
      <c r="L138" s="25" t="str">
        <f>IFERROR(($D138/50-_xlfn.XLOOKUP($H138,$O$48:$O$62,$T$48:$T$62)*$P$14)/$P$9,"")</f>
        <v/>
      </c>
      <c r="M138" s="14">
        <f t="shared" si="2"/>
        <v>0</v>
      </c>
    </row>
    <row r="139" spans="2:13" x14ac:dyDescent="0.25">
      <c r="B139" s="10" t="str">
        <f>IF('Importér data'!C150="type",'Importér data'!F150,"")</f>
        <v/>
      </c>
      <c r="C139" s="10">
        <f>'Importér data'!H150</f>
        <v>0</v>
      </c>
      <c r="D139" s="32" t="str">
        <f>IF('Importér data'!C150="type",'Importér data'!N150,"")</f>
        <v/>
      </c>
      <c r="E139" s="24"/>
      <c r="F139" s="45"/>
      <c r="G139" s="45"/>
      <c r="H139" s="24"/>
      <c r="I139" s="25" t="str">
        <f>IFERROR(($D139/50-_xlfn.XLOOKUP($E139,$O$35:$O$43,$T$35:$T$43)*F139)/$P$9,"")</f>
        <v/>
      </c>
      <c r="J139" s="25" t="str">
        <f>IFERROR(_xlfn.XLOOKUP($E139,$O$35:$O$43,$T$35:$T$43)*G139/$P$9,"")</f>
        <v/>
      </c>
      <c r="K139" s="25" t="str">
        <f>IF(E139=$O$43,($D139/50-$T$43*$P$9)/$P$9,"")</f>
        <v/>
      </c>
      <c r="L139" s="25" t="str">
        <f>IFERROR(($D139/50-_xlfn.XLOOKUP($H139,$O$48:$O$62,$T$48:$T$62)*$P$14)/$P$9,"")</f>
        <v/>
      </c>
      <c r="M139" s="14">
        <f t="shared" si="2"/>
        <v>0</v>
      </c>
    </row>
    <row r="140" spans="2:13" x14ac:dyDescent="0.25">
      <c r="B140" s="10" t="str">
        <f>IF('Importér data'!C151="type",'Importér data'!F151,"")</f>
        <v/>
      </c>
      <c r="C140" s="10">
        <f>'Importér data'!H151</f>
        <v>0</v>
      </c>
      <c r="D140" s="32" t="str">
        <f>IF('Importér data'!C151="type",'Importér data'!N151,"")</f>
        <v/>
      </c>
      <c r="E140" s="24"/>
      <c r="F140" s="45"/>
      <c r="G140" s="45"/>
      <c r="H140" s="24"/>
      <c r="I140" s="25" t="str">
        <f>IFERROR(($D140/50-_xlfn.XLOOKUP($E140,$O$35:$O$43,$T$35:$T$43)*F140)/$P$9,"")</f>
        <v/>
      </c>
      <c r="J140" s="25" t="str">
        <f>IFERROR(_xlfn.XLOOKUP($E140,$O$35:$O$43,$T$35:$T$43)*G140/$P$9,"")</f>
        <v/>
      </c>
      <c r="K140" s="25" t="str">
        <f>IF(E140=$O$43,($D140/50-$T$43*$P$9)/$P$9,"")</f>
        <v/>
      </c>
      <c r="L140" s="25" t="str">
        <f>IFERROR(($D140/50-_xlfn.XLOOKUP($H140,$O$48:$O$62,$T$48:$T$62)*$P$14)/$P$9,"")</f>
        <v/>
      </c>
      <c r="M140" s="14">
        <f t="shared" si="2"/>
        <v>0</v>
      </c>
    </row>
    <row r="141" spans="2:13" x14ac:dyDescent="0.25">
      <c r="B141" s="10" t="str">
        <f>IF('Importér data'!C152="type",'Importér data'!F152,"")</f>
        <v/>
      </c>
      <c r="C141" s="10">
        <f>'Importér data'!H152</f>
        <v>0</v>
      </c>
      <c r="D141" s="32" t="str">
        <f>IF('Importér data'!C152="type",'Importér data'!N152,"")</f>
        <v/>
      </c>
      <c r="E141" s="24"/>
      <c r="F141" s="45"/>
      <c r="G141" s="45"/>
      <c r="H141" s="24"/>
      <c r="I141" s="25" t="str">
        <f>IFERROR(($D141/50-_xlfn.XLOOKUP($E141,$O$35:$O$43,$T$35:$T$43)*F141)/$P$9,"")</f>
        <v/>
      </c>
      <c r="J141" s="25" t="str">
        <f>IFERROR(_xlfn.XLOOKUP($E141,$O$35:$O$43,$T$35:$T$43)*G141/$P$9,"")</f>
        <v/>
      </c>
      <c r="K141" s="25" t="str">
        <f>IF(E141=$O$43,($D141/50-$T$43*$P$9)/$P$9,"")</f>
        <v/>
      </c>
      <c r="L141" s="25" t="str">
        <f>IFERROR(($D141/50-_xlfn.XLOOKUP($H141,$O$48:$O$62,$T$48:$T$62)*$P$14)/$P$9,"")</f>
        <v/>
      </c>
      <c r="M141" s="14">
        <f t="shared" si="2"/>
        <v>0</v>
      </c>
    </row>
    <row r="142" spans="2:13" x14ac:dyDescent="0.25">
      <c r="B142" s="10" t="str">
        <f>IF('Importér data'!C153="type",'Importér data'!F153,"")</f>
        <v/>
      </c>
      <c r="C142" s="10">
        <f>'Importér data'!H153</f>
        <v>0</v>
      </c>
      <c r="D142" s="32" t="str">
        <f>IF('Importér data'!C153="type",'Importér data'!N153,"")</f>
        <v/>
      </c>
      <c r="E142" s="24"/>
      <c r="F142" s="45"/>
      <c r="G142" s="45"/>
      <c r="H142" s="24"/>
      <c r="I142" s="25" t="str">
        <f>IFERROR(($D142/50-_xlfn.XLOOKUP($E142,$O$35:$O$43,$T$35:$T$43)*F142)/$P$9,"")</f>
        <v/>
      </c>
      <c r="J142" s="25" t="str">
        <f>IFERROR(_xlfn.XLOOKUP($E142,$O$35:$O$43,$T$35:$T$43)*G142/$P$9,"")</f>
        <v/>
      </c>
      <c r="K142" s="25" t="str">
        <f>IF(E142=$O$43,($D142/50-$T$43*$P$9)/$P$9,"")</f>
        <v/>
      </c>
      <c r="L142" s="25" t="str">
        <f>IFERROR(($D142/50-_xlfn.XLOOKUP($H142,$O$48:$O$62,$T$48:$T$62)*$P$14)/$P$9,"")</f>
        <v/>
      </c>
      <c r="M142" s="14">
        <f t="shared" si="2"/>
        <v>0</v>
      </c>
    </row>
    <row r="143" spans="2:13" x14ac:dyDescent="0.25">
      <c r="B143" s="10" t="str">
        <f>IF('Importér data'!C154="type",'Importér data'!F154,"")</f>
        <v/>
      </c>
      <c r="C143" s="10">
        <f>'Importér data'!H154</f>
        <v>0</v>
      </c>
      <c r="D143" s="32" t="str">
        <f>IF('Importér data'!C154="type",'Importér data'!N154,"")</f>
        <v/>
      </c>
      <c r="E143" s="24"/>
      <c r="F143" s="45"/>
      <c r="G143" s="45"/>
      <c r="H143" s="24"/>
      <c r="I143" s="25" t="str">
        <f>IFERROR(($D143/50-_xlfn.XLOOKUP($E143,$O$35:$O$43,$T$35:$T$43)*F143)/$P$9,"")</f>
        <v/>
      </c>
      <c r="J143" s="25" t="str">
        <f>IFERROR(_xlfn.XLOOKUP($E143,$O$35:$O$43,$T$35:$T$43)*G143/$P$9,"")</f>
        <v/>
      </c>
      <c r="K143" s="25" t="str">
        <f>IF(E143=$O$43,($D143/50-$T$43*$P$9)/$P$9,"")</f>
        <v/>
      </c>
      <c r="L143" s="25" t="str">
        <f>IFERROR(($D143/50-_xlfn.XLOOKUP($H143,$O$48:$O$62,$T$48:$T$62)*$P$14)/$P$9,"")</f>
        <v/>
      </c>
      <c r="M143" s="14">
        <f t="shared" si="2"/>
        <v>0</v>
      </c>
    </row>
    <row r="144" spans="2:13" x14ac:dyDescent="0.25">
      <c r="B144" s="10" t="str">
        <f>IF('Importér data'!C155="type",'Importér data'!F155,"")</f>
        <v/>
      </c>
      <c r="C144" s="10">
        <f>'Importér data'!H155</f>
        <v>0</v>
      </c>
      <c r="D144" s="32" t="str">
        <f>IF('Importér data'!C155="type",'Importér data'!N155,"")</f>
        <v/>
      </c>
      <c r="E144" s="24"/>
      <c r="F144" s="45"/>
      <c r="G144" s="45"/>
      <c r="H144" s="24"/>
      <c r="I144" s="25" t="str">
        <f>IFERROR(($D144/50-_xlfn.XLOOKUP($E144,$O$35:$O$43,$T$35:$T$43)*F144)/$P$9,"")</f>
        <v/>
      </c>
      <c r="J144" s="25" t="str">
        <f>IFERROR(_xlfn.XLOOKUP($E144,$O$35:$O$43,$T$35:$T$43)*G144/$P$9,"")</f>
        <v/>
      </c>
      <c r="K144" s="25" t="str">
        <f>IF(E144=$O$43,($D144/50-$T$43*$P$9)/$P$9,"")</f>
        <v/>
      </c>
      <c r="L144" s="25" t="str">
        <f>IFERROR(($D144/50-_xlfn.XLOOKUP($H144,$O$48:$O$62,$T$48:$T$62)*$P$14)/$P$9,"")</f>
        <v/>
      </c>
      <c r="M144" s="14">
        <f t="shared" si="2"/>
        <v>0</v>
      </c>
    </row>
    <row r="145" spans="2:13" x14ac:dyDescent="0.25">
      <c r="B145" s="10" t="str">
        <f>IF('Importér data'!C156="type",'Importér data'!F156,"")</f>
        <v/>
      </c>
      <c r="C145" s="10">
        <f>'Importér data'!H156</f>
        <v>0</v>
      </c>
      <c r="D145" s="32" t="str">
        <f>IF('Importér data'!C156="type",'Importér data'!N156,"")</f>
        <v/>
      </c>
      <c r="E145" s="24"/>
      <c r="F145" s="45"/>
      <c r="G145" s="45"/>
      <c r="H145" s="24"/>
      <c r="I145" s="25" t="str">
        <f>IFERROR(($D145/50-_xlfn.XLOOKUP($E145,$O$35:$O$43,$T$35:$T$43)*F145)/$P$9,"")</f>
        <v/>
      </c>
      <c r="J145" s="25" t="str">
        <f>IFERROR(_xlfn.XLOOKUP($E145,$O$35:$O$43,$T$35:$T$43)*G145/$P$9,"")</f>
        <v/>
      </c>
      <c r="K145" s="25" t="str">
        <f>IF(E145=$O$43,($D145/50-$T$43*$P$9)/$P$9,"")</f>
        <v/>
      </c>
      <c r="L145" s="25" t="str">
        <f>IFERROR(($D145/50-_xlfn.XLOOKUP($H145,$O$48:$O$62,$T$48:$T$62)*$P$14)/$P$9,"")</f>
        <v/>
      </c>
      <c r="M145" s="14">
        <f t="shared" si="2"/>
        <v>0</v>
      </c>
    </row>
    <row r="146" spans="2:13" x14ac:dyDescent="0.25">
      <c r="B146" s="10" t="str">
        <f>IF('Importér data'!C157="type",'Importér data'!F157,"")</f>
        <v/>
      </c>
      <c r="C146" s="10">
        <f>'Importér data'!H157</f>
        <v>0</v>
      </c>
      <c r="D146" s="32" t="str">
        <f>IF('Importér data'!C157="type",'Importér data'!N157,"")</f>
        <v/>
      </c>
      <c r="E146" s="24"/>
      <c r="F146" s="45"/>
      <c r="G146" s="45"/>
      <c r="H146" s="24"/>
      <c r="I146" s="25" t="str">
        <f>IFERROR(($D146/50-_xlfn.XLOOKUP($E146,$O$35:$O$43,$T$35:$T$43)*F146)/$P$9,"")</f>
        <v/>
      </c>
      <c r="J146" s="25" t="str">
        <f>IFERROR(_xlfn.XLOOKUP($E146,$O$35:$O$43,$T$35:$T$43)*G146/$P$9,"")</f>
        <v/>
      </c>
      <c r="K146" s="25" t="str">
        <f>IF(E146=$O$43,($D146/50-$T$43*$P$9)/$P$9,"")</f>
        <v/>
      </c>
      <c r="L146" s="25" t="str">
        <f>IFERROR(($D146/50-_xlfn.XLOOKUP($H146,$O$48:$O$62,$T$48:$T$62)*$P$14)/$P$9,"")</f>
        <v/>
      </c>
      <c r="M146" s="14">
        <f t="shared" si="2"/>
        <v>0</v>
      </c>
    </row>
    <row r="147" spans="2:13" x14ac:dyDescent="0.25">
      <c r="B147" s="10" t="str">
        <f>IF('Importér data'!C158="type",'Importér data'!F158,"")</f>
        <v/>
      </c>
      <c r="C147" s="10">
        <f>'Importér data'!H158</f>
        <v>0</v>
      </c>
      <c r="D147" s="32" t="str">
        <f>IF('Importér data'!C158="type",'Importér data'!N158,"")</f>
        <v/>
      </c>
      <c r="E147" s="24"/>
      <c r="F147" s="45"/>
      <c r="G147" s="45"/>
      <c r="H147" s="24"/>
      <c r="I147" s="25" t="str">
        <f>IFERROR(($D147/50-_xlfn.XLOOKUP($E147,$O$35:$O$43,$T$35:$T$43)*F147)/$P$9,"")</f>
        <v/>
      </c>
      <c r="J147" s="25" t="str">
        <f>IFERROR(_xlfn.XLOOKUP($E147,$O$35:$O$43,$T$35:$T$43)*G147/$P$9,"")</f>
        <v/>
      </c>
      <c r="K147" s="25" t="str">
        <f>IF(E147=$O$43,($D147/50-$T$43*$P$9)/$P$9,"")</f>
        <v/>
      </c>
      <c r="L147" s="25" t="str">
        <f>IFERROR(($D147/50-_xlfn.XLOOKUP($H147,$O$48:$O$62,$T$48:$T$62)*$P$14)/$P$9,"")</f>
        <v/>
      </c>
      <c r="M147" s="14">
        <f t="shared" si="2"/>
        <v>0</v>
      </c>
    </row>
    <row r="148" spans="2:13" x14ac:dyDescent="0.25">
      <c r="B148" s="10" t="str">
        <f>IF('Importér data'!C159="type",'Importér data'!F159,"")</f>
        <v/>
      </c>
      <c r="C148" s="10">
        <f>'Importér data'!H159</f>
        <v>0</v>
      </c>
      <c r="D148" s="32" t="str">
        <f>IF('Importér data'!C159="type",'Importér data'!N159,"")</f>
        <v/>
      </c>
      <c r="E148" s="24"/>
      <c r="F148" s="45"/>
      <c r="G148" s="45"/>
      <c r="H148" s="24"/>
      <c r="I148" s="25" t="str">
        <f>IFERROR(($D148/50-_xlfn.XLOOKUP($E148,$O$35:$O$43,$T$35:$T$43)*F148)/$P$9,"")</f>
        <v/>
      </c>
      <c r="J148" s="25" t="str">
        <f>IFERROR(_xlfn.XLOOKUP($E148,$O$35:$O$43,$T$35:$T$43)*G148/$P$9,"")</f>
        <v/>
      </c>
      <c r="K148" s="25" t="str">
        <f>IF(E148=$O$43,($D148/50-$T$43*$P$9)/$P$9,"")</f>
        <v/>
      </c>
      <c r="L148" s="25" t="str">
        <f>IFERROR(($D148/50-_xlfn.XLOOKUP($H148,$O$48:$O$62,$T$48:$T$62)*$P$14)/$P$9,"")</f>
        <v/>
      </c>
      <c r="M148" s="14">
        <f t="shared" si="2"/>
        <v>0</v>
      </c>
    </row>
    <row r="149" spans="2:13" x14ac:dyDescent="0.25">
      <c r="B149" s="10" t="str">
        <f>IF('Importér data'!C160="type",'Importér data'!F160,"")</f>
        <v/>
      </c>
      <c r="C149" s="10">
        <f>'Importér data'!H160</f>
        <v>0</v>
      </c>
      <c r="D149" s="32" t="str">
        <f>IF('Importér data'!C160="type",'Importér data'!N160,"")</f>
        <v/>
      </c>
      <c r="E149" s="24"/>
      <c r="F149" s="45"/>
      <c r="G149" s="45"/>
      <c r="H149" s="24"/>
      <c r="I149" s="25" t="str">
        <f>IFERROR(($D149/50-_xlfn.XLOOKUP($E149,$O$35:$O$43,$T$35:$T$43)*F149)/$P$9,"")</f>
        <v/>
      </c>
      <c r="J149" s="25" t="str">
        <f>IFERROR(_xlfn.XLOOKUP($E149,$O$35:$O$43,$T$35:$T$43)*G149/$P$9,"")</f>
        <v/>
      </c>
      <c r="K149" s="25" t="str">
        <f>IF(E149=$O$43,($D149/50-$T$43*$P$9)/$P$9,"")</f>
        <v/>
      </c>
      <c r="L149" s="25" t="str">
        <f>IFERROR(($D149/50-_xlfn.XLOOKUP($H149,$O$48:$O$62,$T$48:$T$62)*$P$14)/$P$9,"")</f>
        <v/>
      </c>
      <c r="M149" s="14">
        <f t="shared" si="2"/>
        <v>0</v>
      </c>
    </row>
    <row r="150" spans="2:13" x14ac:dyDescent="0.25">
      <c r="B150" s="10" t="str">
        <f>IF('Importér data'!C161="type",'Importér data'!F161,"")</f>
        <v/>
      </c>
      <c r="C150" s="10">
        <f>'Importér data'!H161</f>
        <v>0</v>
      </c>
      <c r="D150" s="32" t="str">
        <f>IF('Importér data'!C161="type",'Importér data'!N161,"")</f>
        <v/>
      </c>
      <c r="E150" s="24"/>
      <c r="F150" s="45"/>
      <c r="G150" s="45"/>
      <c r="H150" s="24"/>
      <c r="I150" s="25" t="str">
        <f>IFERROR(($D150/50-_xlfn.XLOOKUP($E150,$O$35:$O$43,$T$35:$T$43)*F150)/$P$9,"")</f>
        <v/>
      </c>
      <c r="J150" s="25" t="str">
        <f>IFERROR(_xlfn.XLOOKUP($E150,$O$35:$O$43,$T$35:$T$43)*G150/$P$9,"")</f>
        <v/>
      </c>
      <c r="K150" s="25" t="str">
        <f>IF(E150=$O$43,($D150/50-$T$43*$P$9)/$P$9,"")</f>
        <v/>
      </c>
      <c r="L150" s="25" t="str">
        <f>IFERROR(($D150/50-_xlfn.XLOOKUP($H150,$O$48:$O$62,$T$48:$T$62)*$P$14)/$P$9,"")</f>
        <v/>
      </c>
      <c r="M150" s="14">
        <f t="shared" si="2"/>
        <v>0</v>
      </c>
    </row>
    <row r="151" spans="2:13" x14ac:dyDescent="0.25">
      <c r="B151" s="10" t="str">
        <f>IF('Importér data'!C162="type",'Importér data'!F162,"")</f>
        <v/>
      </c>
      <c r="C151" s="10">
        <f>'Importér data'!H162</f>
        <v>0</v>
      </c>
      <c r="D151" s="32" t="str">
        <f>IF('Importér data'!C162="type",'Importér data'!N162,"")</f>
        <v/>
      </c>
      <c r="E151" s="24"/>
      <c r="F151" s="45"/>
      <c r="G151" s="45"/>
      <c r="H151" s="24"/>
      <c r="I151" s="25" t="str">
        <f>IFERROR(($D151/50-_xlfn.XLOOKUP($E151,$O$35:$O$43,$T$35:$T$43)*F151)/$P$9,"")</f>
        <v/>
      </c>
      <c r="J151" s="25" t="str">
        <f>IFERROR(_xlfn.XLOOKUP($E151,$O$35:$O$43,$T$35:$T$43)*G151/$P$9,"")</f>
        <v/>
      </c>
      <c r="K151" s="25" t="str">
        <f>IF(E151=$O$43,($D151/50-$T$43*$P$9)/$P$9,"")</f>
        <v/>
      </c>
      <c r="L151" s="25" t="str">
        <f>IFERROR(($D151/50-_xlfn.XLOOKUP($H151,$O$48:$O$62,$T$48:$T$62)*$P$14)/$P$9,"")</f>
        <v/>
      </c>
      <c r="M151" s="14">
        <f t="shared" si="2"/>
        <v>0</v>
      </c>
    </row>
    <row r="152" spans="2:13" x14ac:dyDescent="0.25">
      <c r="B152" s="10" t="str">
        <f>IF('Importér data'!C163="type",'Importér data'!F163,"")</f>
        <v/>
      </c>
      <c r="C152" s="10">
        <f>'Importér data'!H163</f>
        <v>0</v>
      </c>
      <c r="D152" s="32" t="str">
        <f>IF('Importér data'!C163="type",'Importér data'!N163,"")</f>
        <v/>
      </c>
      <c r="E152" s="24"/>
      <c r="F152" s="45"/>
      <c r="G152" s="45"/>
      <c r="H152" s="24"/>
      <c r="I152" s="25" t="str">
        <f>IFERROR(($D152/50-_xlfn.XLOOKUP($E152,$O$35:$O$43,$T$35:$T$43)*F152)/$P$9,"")</f>
        <v/>
      </c>
      <c r="J152" s="25" t="str">
        <f>IFERROR(_xlfn.XLOOKUP($E152,$O$35:$O$43,$T$35:$T$43)*G152/$P$9,"")</f>
        <v/>
      </c>
      <c r="K152" s="25" t="str">
        <f>IF(E152=$O$43,($D152/50-$T$43*$P$9)/$P$9,"")</f>
        <v/>
      </c>
      <c r="L152" s="25" t="str">
        <f>IFERROR(($D152/50-_xlfn.XLOOKUP($H152,$O$48:$O$62,$T$48:$T$62)*$P$14)/$P$9,"")</f>
        <v/>
      </c>
      <c r="M152" s="14">
        <f t="shared" si="2"/>
        <v>0</v>
      </c>
    </row>
    <row r="153" spans="2:13" x14ac:dyDescent="0.25">
      <c r="B153" s="10" t="str">
        <f>IF('Importér data'!C164="type",'Importér data'!F164,"")</f>
        <v/>
      </c>
      <c r="C153" s="10">
        <f>'Importér data'!H164</f>
        <v>0</v>
      </c>
      <c r="D153" s="32" t="str">
        <f>IF('Importér data'!C164="type",'Importér data'!N164,"")</f>
        <v/>
      </c>
      <c r="E153" s="24"/>
      <c r="F153" s="45"/>
      <c r="G153" s="45"/>
      <c r="H153" s="24"/>
      <c r="I153" s="25" t="str">
        <f>IFERROR(($D153/50-_xlfn.XLOOKUP($E153,$O$35:$O$43,$T$35:$T$43)*F153)/$P$9,"")</f>
        <v/>
      </c>
      <c r="J153" s="25" t="str">
        <f>IFERROR(_xlfn.XLOOKUP($E153,$O$35:$O$43,$T$35:$T$43)*G153/$P$9,"")</f>
        <v/>
      </c>
      <c r="K153" s="25" t="str">
        <f>IF(E153=$O$43,($D153/50-$T$43*$P$9)/$P$9,"")</f>
        <v/>
      </c>
      <c r="L153" s="25" t="str">
        <f>IFERROR(($D153/50-_xlfn.XLOOKUP($H153,$O$48:$O$62,$T$48:$T$62)*$P$14)/$P$9,"")</f>
        <v/>
      </c>
      <c r="M153" s="14">
        <f t="shared" si="2"/>
        <v>0</v>
      </c>
    </row>
    <row r="154" spans="2:13" x14ac:dyDescent="0.25">
      <c r="B154" s="10" t="str">
        <f>IF('Importér data'!C165="type",'Importér data'!F165,"")</f>
        <v/>
      </c>
      <c r="C154" s="10">
        <f>'Importér data'!H165</f>
        <v>0</v>
      </c>
      <c r="D154" s="32" t="str">
        <f>IF('Importér data'!C165="type",'Importér data'!N165,"")</f>
        <v/>
      </c>
      <c r="E154" s="24"/>
      <c r="F154" s="45"/>
      <c r="G154" s="45"/>
      <c r="H154" s="24"/>
      <c r="I154" s="25" t="str">
        <f>IFERROR(($D154/50-_xlfn.XLOOKUP($E154,$O$35:$O$43,$T$35:$T$43)*F154)/$P$9,"")</f>
        <v/>
      </c>
      <c r="J154" s="25" t="str">
        <f>IFERROR(_xlfn.XLOOKUP($E154,$O$35:$O$43,$T$35:$T$43)*G154/$P$9,"")</f>
        <v/>
      </c>
      <c r="K154" s="25" t="str">
        <f>IF(E154=$O$43,($D154/50-$T$43*$P$9)/$P$9,"")</f>
        <v/>
      </c>
      <c r="L154" s="25" t="str">
        <f>IFERROR(($D154/50-_xlfn.XLOOKUP($H154,$O$48:$O$62,$T$48:$T$62)*$P$14)/$P$9,"")</f>
        <v/>
      </c>
      <c r="M154" s="14">
        <f t="shared" si="2"/>
        <v>0</v>
      </c>
    </row>
    <row r="155" spans="2:13" x14ac:dyDescent="0.25">
      <c r="B155" s="10" t="str">
        <f>IF('Importér data'!C166="type",'Importér data'!F166,"")</f>
        <v/>
      </c>
      <c r="C155" s="10">
        <f>'Importér data'!H166</f>
        <v>0</v>
      </c>
      <c r="D155" s="32" t="str">
        <f>IF('Importér data'!C166="type",'Importér data'!N166,"")</f>
        <v/>
      </c>
      <c r="E155" s="24"/>
      <c r="F155" s="45"/>
      <c r="G155" s="45"/>
      <c r="H155" s="24"/>
      <c r="I155" s="25" t="str">
        <f>IFERROR(($D155/50-_xlfn.XLOOKUP($E155,$O$35:$O$43,$T$35:$T$43)*F155)/$P$9,"")</f>
        <v/>
      </c>
      <c r="J155" s="25" t="str">
        <f>IFERROR(_xlfn.XLOOKUP($E155,$O$35:$O$43,$T$35:$T$43)*G155/$P$9,"")</f>
        <v/>
      </c>
      <c r="K155" s="25" t="str">
        <f>IF(E155=$O$43,($D155/50-$T$43*$P$9)/$P$9,"")</f>
        <v/>
      </c>
      <c r="L155" s="25" t="str">
        <f>IFERROR(($D155/50-_xlfn.XLOOKUP($H155,$O$48:$O$62,$T$48:$T$62)*$P$14)/$P$9,"")</f>
        <v/>
      </c>
      <c r="M155" s="14">
        <f t="shared" si="2"/>
        <v>0</v>
      </c>
    </row>
    <row r="156" spans="2:13" x14ac:dyDescent="0.25">
      <c r="B156" s="10" t="str">
        <f>IF('Importér data'!C167="type",'Importér data'!F167,"")</f>
        <v/>
      </c>
      <c r="C156" s="10">
        <f>'Importér data'!H167</f>
        <v>0</v>
      </c>
      <c r="D156" s="32" t="str">
        <f>IF('Importér data'!C167="type",'Importér data'!N167,"")</f>
        <v/>
      </c>
      <c r="E156" s="24"/>
      <c r="F156" s="45"/>
      <c r="G156" s="45"/>
      <c r="H156" s="24"/>
      <c r="I156" s="25" t="str">
        <f>IFERROR(($D156/50-_xlfn.XLOOKUP($E156,$O$35:$O$43,$T$35:$T$43)*F156)/$P$9,"")</f>
        <v/>
      </c>
      <c r="J156" s="25" t="str">
        <f>IFERROR(_xlfn.XLOOKUP($E156,$O$35:$O$43,$T$35:$T$43)*G156/$P$9,"")</f>
        <v/>
      </c>
      <c r="K156" s="25" t="str">
        <f>IF(E156=$O$43,($D156/50-$T$43*$P$9)/$P$9,"")</f>
        <v/>
      </c>
      <c r="L156" s="25" t="str">
        <f>IFERROR(($D156/50-_xlfn.XLOOKUP($H156,$O$48:$O$62,$T$48:$T$62)*$P$14)/$P$9,"")</f>
        <v/>
      </c>
      <c r="M156" s="14">
        <f t="shared" si="2"/>
        <v>0</v>
      </c>
    </row>
    <row r="157" spans="2:13" x14ac:dyDescent="0.25">
      <c r="B157" s="10" t="str">
        <f>IF('Importér data'!C168="type",'Importér data'!F168,"")</f>
        <v/>
      </c>
      <c r="C157" s="10">
        <f>'Importér data'!H168</f>
        <v>0</v>
      </c>
      <c r="D157" s="32" t="str">
        <f>IF('Importér data'!C168="type",'Importér data'!N168,"")</f>
        <v/>
      </c>
      <c r="E157" s="24"/>
      <c r="F157" s="45"/>
      <c r="G157" s="45"/>
      <c r="H157" s="24"/>
      <c r="I157" s="25" t="str">
        <f>IFERROR(($D157/50-_xlfn.XLOOKUP($E157,$O$35:$O$43,$T$35:$T$43)*F157)/$P$9,"")</f>
        <v/>
      </c>
      <c r="J157" s="25" t="str">
        <f>IFERROR(_xlfn.XLOOKUP($E157,$O$35:$O$43,$T$35:$T$43)*G157/$P$9,"")</f>
        <v/>
      </c>
      <c r="K157" s="25" t="str">
        <f>IF(E157=$O$43,($D157/50-$T$43*$P$9)/$P$9,"")</f>
        <v/>
      </c>
      <c r="L157" s="25" t="str">
        <f>IFERROR(($D157/50-_xlfn.XLOOKUP($H157,$O$48:$O$62,$T$48:$T$62)*$P$14)/$P$9,"")</f>
        <v/>
      </c>
      <c r="M157" s="14">
        <f t="shared" si="2"/>
        <v>0</v>
      </c>
    </row>
    <row r="158" spans="2:13" x14ac:dyDescent="0.25">
      <c r="B158" s="10" t="str">
        <f>IF('Importér data'!C169="type",'Importér data'!F169,"")</f>
        <v/>
      </c>
      <c r="C158" s="10">
        <f>'Importér data'!H169</f>
        <v>0</v>
      </c>
      <c r="D158" s="32" t="str">
        <f>IF('Importér data'!C169="type",'Importér data'!N169,"")</f>
        <v/>
      </c>
      <c r="E158" s="24"/>
      <c r="F158" s="45"/>
      <c r="G158" s="45"/>
      <c r="H158" s="24"/>
      <c r="I158" s="25" t="str">
        <f>IFERROR(($D158/50-_xlfn.XLOOKUP($E158,$O$35:$O$43,$T$35:$T$43)*F158)/$P$9,"")</f>
        <v/>
      </c>
      <c r="J158" s="25" t="str">
        <f>IFERROR(_xlfn.XLOOKUP($E158,$O$35:$O$43,$T$35:$T$43)*G158/$P$9,"")</f>
        <v/>
      </c>
      <c r="K158" s="25" t="str">
        <f>IF(E158=$O$43,($D158/50-$T$43*$P$9)/$P$9,"")</f>
        <v/>
      </c>
      <c r="L158" s="25" t="str">
        <f>IFERROR(($D158/50-_xlfn.XLOOKUP($H158,$O$48:$O$62,$T$48:$T$62)*$P$14)/$P$9,"")</f>
        <v/>
      </c>
      <c r="M158" s="14">
        <f t="shared" si="2"/>
        <v>0</v>
      </c>
    </row>
    <row r="159" spans="2:13" x14ac:dyDescent="0.25">
      <c r="B159" s="10" t="str">
        <f>IF('Importér data'!C170="type",'Importér data'!F170,"")</f>
        <v/>
      </c>
      <c r="C159" s="10">
        <f>'Importér data'!H170</f>
        <v>0</v>
      </c>
      <c r="D159" s="32" t="str">
        <f>IF('Importér data'!C170="type",'Importér data'!N170,"")</f>
        <v/>
      </c>
      <c r="E159" s="24"/>
      <c r="F159" s="45"/>
      <c r="G159" s="45"/>
      <c r="H159" s="24"/>
      <c r="I159" s="25" t="str">
        <f>IFERROR(($D159/50-_xlfn.XLOOKUP($E159,$O$35:$O$43,$T$35:$T$43)*F159)/$P$9,"")</f>
        <v/>
      </c>
      <c r="J159" s="25" t="str">
        <f>IFERROR(_xlfn.XLOOKUP($E159,$O$35:$O$43,$T$35:$T$43)*G159/$P$9,"")</f>
        <v/>
      </c>
      <c r="K159" s="25" t="str">
        <f>IF(E159=$O$43,($D159/50-$T$43*$P$9)/$P$9,"")</f>
        <v/>
      </c>
      <c r="L159" s="25" t="str">
        <f>IFERROR(($D159/50-_xlfn.XLOOKUP($H159,$O$48:$O$62,$T$48:$T$62)*$P$14)/$P$9,"")</f>
        <v/>
      </c>
      <c r="M159" s="14">
        <f t="shared" si="2"/>
        <v>0</v>
      </c>
    </row>
    <row r="160" spans="2:13" x14ac:dyDescent="0.25">
      <c r="B160" s="10" t="str">
        <f>IF('Importér data'!C171="type",'Importér data'!F171,"")</f>
        <v/>
      </c>
      <c r="C160" s="10">
        <f>'Importér data'!H171</f>
        <v>0</v>
      </c>
      <c r="D160" s="32" t="str">
        <f>IF('Importér data'!C171="type",'Importér data'!N171,"")</f>
        <v/>
      </c>
      <c r="E160" s="24"/>
      <c r="F160" s="45"/>
      <c r="G160" s="45"/>
      <c r="H160" s="24"/>
      <c r="I160" s="25" t="str">
        <f>IFERROR(($D160/50-_xlfn.XLOOKUP($E160,$O$35:$O$43,$T$35:$T$43)*F160)/$P$9,"")</f>
        <v/>
      </c>
      <c r="J160" s="25" t="str">
        <f>IFERROR(_xlfn.XLOOKUP($E160,$O$35:$O$43,$T$35:$T$43)*G160/$P$9,"")</f>
        <v/>
      </c>
      <c r="K160" s="25" t="str">
        <f>IF(E160=$O$43,($D160/50-$T$43*$P$9)/$P$9,"")</f>
        <v/>
      </c>
      <c r="L160" s="25" t="str">
        <f>IFERROR(($D160/50-_xlfn.XLOOKUP($H160,$O$48:$O$62,$T$48:$T$62)*$P$14)/$P$9,"")</f>
        <v/>
      </c>
      <c r="M160" s="14">
        <f t="shared" si="2"/>
        <v>0</v>
      </c>
    </row>
    <row r="161" spans="2:13" x14ac:dyDescent="0.25">
      <c r="B161" s="10" t="str">
        <f>IF('Importér data'!C172="type",'Importér data'!F172,"")</f>
        <v/>
      </c>
      <c r="C161" s="10">
        <f>'Importér data'!H172</f>
        <v>0</v>
      </c>
      <c r="D161" s="32" t="str">
        <f>IF('Importér data'!C172="type",'Importér data'!N172,"")</f>
        <v/>
      </c>
      <c r="E161" s="24"/>
      <c r="F161" s="45"/>
      <c r="G161" s="45"/>
      <c r="H161" s="24"/>
      <c r="I161" s="25" t="str">
        <f>IFERROR(($D161/50-_xlfn.XLOOKUP($E161,$O$35:$O$43,$T$35:$T$43)*F161)/$P$9,"")</f>
        <v/>
      </c>
      <c r="J161" s="25" t="str">
        <f>IFERROR(_xlfn.XLOOKUP($E161,$O$35:$O$43,$T$35:$T$43)*G161/$P$9,"")</f>
        <v/>
      </c>
      <c r="K161" s="25" t="str">
        <f>IF(E161=$O$43,($D161/50-$T$43*$P$9)/$P$9,"")</f>
        <v/>
      </c>
      <c r="L161" s="25" t="str">
        <f>IFERROR(($D161/50-_xlfn.XLOOKUP($H161,$O$48:$O$62,$T$48:$T$62)*$P$14)/$P$9,"")</f>
        <v/>
      </c>
      <c r="M161" s="14">
        <f t="shared" si="2"/>
        <v>0</v>
      </c>
    </row>
    <row r="162" spans="2:13" x14ac:dyDescent="0.25">
      <c r="B162" s="10" t="str">
        <f>IF('Importér data'!C173="type",'Importér data'!F173,"")</f>
        <v/>
      </c>
      <c r="C162" s="10">
        <f>'Importér data'!H173</f>
        <v>0</v>
      </c>
      <c r="D162" s="32" t="str">
        <f>IF('Importér data'!C173="type",'Importér data'!N173,"")</f>
        <v/>
      </c>
      <c r="E162" s="24"/>
      <c r="F162" s="45"/>
      <c r="G162" s="45"/>
      <c r="H162" s="24"/>
      <c r="I162" s="25" t="str">
        <f>IFERROR(($D162/50-_xlfn.XLOOKUP($E162,$O$35:$O$43,$T$35:$T$43)*F162)/$P$9,"")</f>
        <v/>
      </c>
      <c r="J162" s="25" t="str">
        <f>IFERROR(_xlfn.XLOOKUP($E162,$O$35:$O$43,$T$35:$T$43)*G162/$P$9,"")</f>
        <v/>
      </c>
      <c r="K162" s="25" t="str">
        <f>IF(E162=$O$43,($D162/50-$T$43*$P$9)/$P$9,"")</f>
        <v/>
      </c>
      <c r="L162" s="25" t="str">
        <f>IFERROR(($D162/50-_xlfn.XLOOKUP($H162,$O$48:$O$62,$T$48:$T$62)*$P$14)/$P$9,"")</f>
        <v/>
      </c>
      <c r="M162" s="14">
        <f t="shared" si="2"/>
        <v>0</v>
      </c>
    </row>
    <row r="163" spans="2:13" x14ac:dyDescent="0.25">
      <c r="B163" s="10" t="str">
        <f>IF('Importér data'!C174="type",'Importér data'!F174,"")</f>
        <v/>
      </c>
      <c r="C163" s="10">
        <f>'Importér data'!H174</f>
        <v>0</v>
      </c>
      <c r="D163" s="32" t="str">
        <f>IF('Importér data'!C174="type",'Importér data'!N174,"")</f>
        <v/>
      </c>
      <c r="E163" s="24"/>
      <c r="F163" s="45"/>
      <c r="G163" s="45"/>
      <c r="H163" s="24"/>
      <c r="I163" s="25" t="str">
        <f>IFERROR(($D163/50-_xlfn.XLOOKUP($E163,$O$35:$O$43,$T$35:$T$43)*F163)/$P$9,"")</f>
        <v/>
      </c>
      <c r="J163" s="25" t="str">
        <f>IFERROR(_xlfn.XLOOKUP($E163,$O$35:$O$43,$T$35:$T$43)*G163/$P$9,"")</f>
        <v/>
      </c>
      <c r="K163" s="25" t="str">
        <f>IF(E163=$O$43,($D163/50-$T$43*$P$9)/$P$9,"")</f>
        <v/>
      </c>
      <c r="L163" s="25" t="str">
        <f>IFERROR(($D163/50-_xlfn.XLOOKUP($H163,$O$48:$O$62,$T$48:$T$62)*$P$14)/$P$9,"")</f>
        <v/>
      </c>
      <c r="M163" s="14">
        <f t="shared" si="2"/>
        <v>0</v>
      </c>
    </row>
    <row r="164" spans="2:13" x14ac:dyDescent="0.25">
      <c r="B164" s="10" t="str">
        <f>IF('Importér data'!C175="type",'Importér data'!F175,"")</f>
        <v/>
      </c>
      <c r="C164" s="10">
        <f>'Importér data'!H175</f>
        <v>0</v>
      </c>
      <c r="D164" s="32" t="str">
        <f>IF('Importér data'!C175="type",'Importér data'!N175,"")</f>
        <v/>
      </c>
      <c r="E164" s="24"/>
      <c r="F164" s="45"/>
      <c r="G164" s="45"/>
      <c r="H164" s="24"/>
      <c r="I164" s="25" t="str">
        <f>IFERROR(($D164/50-_xlfn.XLOOKUP($E164,$O$35:$O$43,$T$35:$T$43)*F164)/$P$9,"")</f>
        <v/>
      </c>
      <c r="J164" s="25" t="str">
        <f>IFERROR(_xlfn.XLOOKUP($E164,$O$35:$O$43,$T$35:$T$43)*G164/$P$9,"")</f>
        <v/>
      </c>
      <c r="K164" s="25" t="str">
        <f>IF(E164=$O$43,($D164/50-$T$43*$P$9)/$P$9,"")</f>
        <v/>
      </c>
      <c r="L164" s="25" t="str">
        <f>IFERROR(($D164/50-_xlfn.XLOOKUP($H164,$O$48:$O$62,$T$48:$T$62)*$P$14)/$P$9,"")</f>
        <v/>
      </c>
      <c r="M164" s="14">
        <f t="shared" si="2"/>
        <v>0</v>
      </c>
    </row>
    <row r="165" spans="2:13" x14ac:dyDescent="0.25">
      <c r="B165" s="10" t="str">
        <f>IF('Importér data'!C176="type",'Importér data'!F176,"")</f>
        <v/>
      </c>
      <c r="C165" s="10">
        <f>'Importér data'!H176</f>
        <v>0</v>
      </c>
      <c r="D165" s="32" t="str">
        <f>IF('Importér data'!C176="type",'Importér data'!N176,"")</f>
        <v/>
      </c>
      <c r="E165" s="24"/>
      <c r="F165" s="45"/>
      <c r="G165" s="45"/>
      <c r="H165" s="24"/>
      <c r="I165" s="25" t="str">
        <f>IFERROR(($D165/50-_xlfn.XLOOKUP($E165,$O$35:$O$43,$T$35:$T$43)*F165)/$P$9,"")</f>
        <v/>
      </c>
      <c r="J165" s="25" t="str">
        <f>IFERROR(_xlfn.XLOOKUP($E165,$O$35:$O$43,$T$35:$T$43)*G165/$P$9,"")</f>
        <v/>
      </c>
      <c r="K165" s="25" t="str">
        <f>IF(E165=$O$43,($D165/50-$T$43*$P$9)/$P$9,"")</f>
        <v/>
      </c>
      <c r="L165" s="25" t="str">
        <f>IFERROR(($D165/50-_xlfn.XLOOKUP($H165,$O$48:$O$62,$T$48:$T$62)*$P$14)/$P$9,"")</f>
        <v/>
      </c>
      <c r="M165" s="14">
        <f t="shared" si="2"/>
        <v>0</v>
      </c>
    </row>
    <row r="166" spans="2:13" x14ac:dyDescent="0.25">
      <c r="B166" s="10" t="str">
        <f>IF('Importér data'!C177="type",'Importér data'!F177,"")</f>
        <v/>
      </c>
      <c r="C166" s="10">
        <f>'Importér data'!H177</f>
        <v>0</v>
      </c>
      <c r="D166" s="32" t="str">
        <f>IF('Importér data'!C177="type",'Importér data'!N177,"")</f>
        <v/>
      </c>
      <c r="E166" s="24"/>
      <c r="F166" s="45"/>
      <c r="G166" s="45"/>
      <c r="H166" s="24"/>
      <c r="I166" s="25" t="str">
        <f>IFERROR(($D166/50-_xlfn.XLOOKUP($E166,$O$35:$O$43,$T$35:$T$43)*F166)/$P$9,"")</f>
        <v/>
      </c>
      <c r="J166" s="25" t="str">
        <f>IFERROR(_xlfn.XLOOKUP($E166,$O$35:$O$43,$T$35:$T$43)*G166/$P$9,"")</f>
        <v/>
      </c>
      <c r="K166" s="25" t="str">
        <f>IF(E166=$O$43,($D166/50-$T$43*$P$9)/$P$9,"")</f>
        <v/>
      </c>
      <c r="L166" s="25" t="str">
        <f>IFERROR(($D166/50-_xlfn.XLOOKUP($H166,$O$48:$O$62,$T$48:$T$62)*$P$14)/$P$9,"")</f>
        <v/>
      </c>
      <c r="M166" s="14">
        <f t="shared" si="2"/>
        <v>0</v>
      </c>
    </row>
    <row r="167" spans="2:13" x14ac:dyDescent="0.25">
      <c r="B167" s="10" t="str">
        <f>IF('Importér data'!C178="type",'Importér data'!F178,"")</f>
        <v/>
      </c>
      <c r="C167" s="10">
        <f>'Importér data'!H178</f>
        <v>0</v>
      </c>
      <c r="D167" s="32" t="str">
        <f>IF('Importér data'!C178="type",'Importér data'!N178,"")</f>
        <v/>
      </c>
      <c r="E167" s="24"/>
      <c r="F167" s="45"/>
      <c r="G167" s="45"/>
      <c r="H167" s="24"/>
      <c r="I167" s="25" t="str">
        <f>IFERROR(($D167/50-_xlfn.XLOOKUP($E167,$O$35:$O$43,$T$35:$T$43)*F167)/$P$9,"")</f>
        <v/>
      </c>
      <c r="J167" s="25" t="str">
        <f>IFERROR(_xlfn.XLOOKUP($E167,$O$35:$O$43,$T$35:$T$43)*G167/$P$9,"")</f>
        <v/>
      </c>
      <c r="K167" s="25" t="str">
        <f>IF(E167=$O$43,($D167/50-$T$43*$P$9)/$P$9,"")</f>
        <v/>
      </c>
      <c r="L167" s="25" t="str">
        <f>IFERROR(($D167/50-_xlfn.XLOOKUP($H167,$O$48:$O$62,$T$48:$T$62)*$P$14)/$P$9,"")</f>
        <v/>
      </c>
      <c r="M167" s="14">
        <f t="shared" si="2"/>
        <v>0</v>
      </c>
    </row>
    <row r="168" spans="2:13" x14ac:dyDescent="0.25">
      <c r="B168" s="10" t="str">
        <f>IF('Importér data'!C179="type",'Importér data'!F179,"")</f>
        <v/>
      </c>
      <c r="C168" s="10">
        <f>'Importér data'!H179</f>
        <v>0</v>
      </c>
      <c r="D168" s="32" t="str">
        <f>IF('Importér data'!C179="type",'Importér data'!N179,"")</f>
        <v/>
      </c>
      <c r="E168" s="24"/>
      <c r="F168" s="45"/>
      <c r="G168" s="45"/>
      <c r="H168" s="24"/>
      <c r="I168" s="25" t="str">
        <f>IFERROR(($D168/50-_xlfn.XLOOKUP($E168,$O$35:$O$43,$T$35:$T$43)*F168)/$P$9,"")</f>
        <v/>
      </c>
      <c r="J168" s="25" t="str">
        <f>IFERROR(_xlfn.XLOOKUP($E168,$O$35:$O$43,$T$35:$T$43)*G168/$P$9,"")</f>
        <v/>
      </c>
      <c r="K168" s="25" t="str">
        <f>IF(E168=$O$43,($D168/50-$T$43*$P$9)/$P$9,"")</f>
        <v/>
      </c>
      <c r="L168" s="25" t="str">
        <f>IFERROR(($D168/50-_xlfn.XLOOKUP($H168,$O$48:$O$62,$T$48:$T$62)*$P$14)/$P$9,"")</f>
        <v/>
      </c>
      <c r="M168" s="14">
        <f t="shared" si="2"/>
        <v>0</v>
      </c>
    </row>
    <row r="169" spans="2:13" x14ac:dyDescent="0.25">
      <c r="B169" s="10" t="str">
        <f>IF('Importér data'!C180="type",'Importér data'!F180,"")</f>
        <v/>
      </c>
      <c r="C169" s="10">
        <f>'Importér data'!H180</f>
        <v>0</v>
      </c>
      <c r="D169" s="32" t="str">
        <f>IF('Importér data'!C180="type",'Importér data'!N180,"")</f>
        <v/>
      </c>
      <c r="E169" s="24"/>
      <c r="F169" s="45"/>
      <c r="G169" s="45"/>
      <c r="H169" s="24"/>
      <c r="I169" s="25" t="str">
        <f>IFERROR(($D169/50-_xlfn.XLOOKUP($E169,$O$35:$O$43,$T$35:$T$43)*F169)/$P$9,"")</f>
        <v/>
      </c>
      <c r="J169" s="25" t="str">
        <f>IFERROR(_xlfn.XLOOKUP($E169,$O$35:$O$43,$T$35:$T$43)*G169/$P$9,"")</f>
        <v/>
      </c>
      <c r="K169" s="25" t="str">
        <f>IF(E169=$O$43,($D169/50-$T$43*$P$9)/$P$9,"")</f>
        <v/>
      </c>
      <c r="L169" s="25" t="str">
        <f>IFERROR(($D169/50-_xlfn.XLOOKUP($H169,$O$48:$O$62,$T$48:$T$62)*$P$14)/$P$9,"")</f>
        <v/>
      </c>
      <c r="M169" s="14">
        <f t="shared" si="2"/>
        <v>0</v>
      </c>
    </row>
    <row r="170" spans="2:13" x14ac:dyDescent="0.25">
      <c r="B170" s="10" t="str">
        <f>IF('Importér data'!C181="type",'Importér data'!F181,"")</f>
        <v/>
      </c>
      <c r="C170" s="10">
        <f>'Importér data'!H181</f>
        <v>0</v>
      </c>
      <c r="D170" s="32" t="str">
        <f>IF('Importér data'!C181="type",'Importér data'!N181,"")</f>
        <v/>
      </c>
      <c r="E170" s="24"/>
      <c r="F170" s="45"/>
      <c r="G170" s="45"/>
      <c r="H170" s="24"/>
      <c r="I170" s="25" t="str">
        <f>IFERROR(($D170/50-_xlfn.XLOOKUP($E170,$O$35:$O$43,$T$35:$T$43)*F170)/$P$9,"")</f>
        <v/>
      </c>
      <c r="J170" s="25" t="str">
        <f>IFERROR(_xlfn.XLOOKUP($E170,$O$35:$O$43,$T$35:$T$43)*G170/$P$9,"")</f>
        <v/>
      </c>
      <c r="K170" s="25" t="str">
        <f>IF(E170=$O$43,($D170/50-$T$43*$P$9)/$P$9,"")</f>
        <v/>
      </c>
      <c r="L170" s="25" t="str">
        <f>IFERROR(($D170/50-_xlfn.XLOOKUP($H170,$O$48:$O$62,$T$48:$T$62)*$P$14)/$P$9,"")</f>
        <v/>
      </c>
      <c r="M170" s="14">
        <f t="shared" si="2"/>
        <v>0</v>
      </c>
    </row>
    <row r="171" spans="2:13" x14ac:dyDescent="0.25">
      <c r="B171" s="10" t="str">
        <f>IF('Importér data'!C182="type",'Importér data'!F182,"")</f>
        <v/>
      </c>
      <c r="C171" s="10">
        <f>'Importér data'!H182</f>
        <v>0</v>
      </c>
      <c r="D171" s="32" t="str">
        <f>IF('Importér data'!C182="type",'Importér data'!N182,"")</f>
        <v/>
      </c>
      <c r="E171" s="24"/>
      <c r="F171" s="45"/>
      <c r="G171" s="45"/>
      <c r="H171" s="24"/>
      <c r="I171" s="25" t="str">
        <f>IFERROR(($D171/50-_xlfn.XLOOKUP($E171,$O$35:$O$43,$T$35:$T$43)*F171)/$P$9,"")</f>
        <v/>
      </c>
      <c r="J171" s="25" t="str">
        <f>IFERROR(_xlfn.XLOOKUP($E171,$O$35:$O$43,$T$35:$T$43)*G171/$P$9,"")</f>
        <v/>
      </c>
      <c r="K171" s="25" t="str">
        <f>IF(E171=$O$43,($D171/50-$T$43*$P$9)/$P$9,"")</f>
        <v/>
      </c>
      <c r="L171" s="25" t="str">
        <f>IFERROR(($D171/50-_xlfn.XLOOKUP($H171,$O$48:$O$62,$T$48:$T$62)*$P$14)/$P$9,"")</f>
        <v/>
      </c>
      <c r="M171" s="14">
        <f t="shared" si="2"/>
        <v>0</v>
      </c>
    </row>
    <row r="172" spans="2:13" x14ac:dyDescent="0.25">
      <c r="B172" s="10" t="str">
        <f>IF('Importér data'!C183="type",'Importér data'!F183,"")</f>
        <v/>
      </c>
      <c r="C172" s="10">
        <f>'Importér data'!H183</f>
        <v>0</v>
      </c>
      <c r="D172" s="32" t="str">
        <f>IF('Importér data'!C183="type",'Importér data'!N183,"")</f>
        <v/>
      </c>
      <c r="E172" s="24"/>
      <c r="F172" s="45"/>
      <c r="G172" s="45"/>
      <c r="H172" s="24"/>
      <c r="I172" s="25" t="str">
        <f>IFERROR(($D172/50-_xlfn.XLOOKUP($E172,$O$35:$O$43,$T$35:$T$43)*F172)/$P$9,"")</f>
        <v/>
      </c>
      <c r="J172" s="25" t="str">
        <f>IFERROR(_xlfn.XLOOKUP($E172,$O$35:$O$43,$T$35:$T$43)*G172/$P$9,"")</f>
        <v/>
      </c>
      <c r="K172" s="25" t="str">
        <f>IF(E172=$O$43,($D172/50-$T$43*$P$9)/$P$9,"")</f>
        <v/>
      </c>
      <c r="L172" s="25" t="str">
        <f>IFERROR(($D172/50-_xlfn.XLOOKUP($H172,$O$48:$O$62,$T$48:$T$62)*$P$14)/$P$9,"")</f>
        <v/>
      </c>
      <c r="M172" s="14">
        <f t="shared" si="2"/>
        <v>0</v>
      </c>
    </row>
    <row r="173" spans="2:13" x14ac:dyDescent="0.25">
      <c r="B173" s="10" t="str">
        <f>IF('Importér data'!C184="type",'Importér data'!F184,"")</f>
        <v/>
      </c>
      <c r="C173" s="10">
        <f>'Importér data'!H184</f>
        <v>0</v>
      </c>
      <c r="D173" s="32" t="str">
        <f>IF('Importér data'!C184="type",'Importér data'!N184,"")</f>
        <v/>
      </c>
      <c r="E173" s="24"/>
      <c r="F173" s="45"/>
      <c r="G173" s="45"/>
      <c r="H173" s="24"/>
      <c r="I173" s="25" t="str">
        <f>IFERROR(($D173/50-_xlfn.XLOOKUP($E173,$O$35:$O$43,$T$35:$T$43)*F173)/$P$9,"")</f>
        <v/>
      </c>
      <c r="J173" s="25" t="str">
        <f>IFERROR(_xlfn.XLOOKUP($E173,$O$35:$O$43,$T$35:$T$43)*G173/$P$9,"")</f>
        <v/>
      </c>
      <c r="K173" s="25" t="str">
        <f>IF(E173=$O$43,($D173/50-$T$43*$P$9)/$P$9,"")</f>
        <v/>
      </c>
      <c r="L173" s="25" t="str">
        <f>IFERROR(($D173/50-_xlfn.XLOOKUP($H173,$O$48:$O$62,$T$48:$T$62)*$P$14)/$P$9,"")</f>
        <v/>
      </c>
      <c r="M173" s="14">
        <f t="shared" si="2"/>
        <v>0</v>
      </c>
    </row>
    <row r="174" spans="2:13" x14ac:dyDescent="0.25">
      <c r="B174" s="10" t="str">
        <f>IF('Importér data'!C185="type",'Importér data'!F185,"")</f>
        <v/>
      </c>
      <c r="C174" s="10">
        <f>'Importér data'!H185</f>
        <v>0</v>
      </c>
      <c r="D174" s="32" t="str">
        <f>IF('Importér data'!C185="type",'Importér data'!N185,"")</f>
        <v/>
      </c>
      <c r="E174" s="24"/>
      <c r="F174" s="45"/>
      <c r="G174" s="45"/>
      <c r="H174" s="24"/>
      <c r="I174" s="25" t="str">
        <f>IFERROR(($D174/50-_xlfn.XLOOKUP($E174,$O$35:$O$43,$T$35:$T$43)*F174)/$P$9,"")</f>
        <v/>
      </c>
      <c r="J174" s="25" t="str">
        <f>IFERROR(_xlfn.XLOOKUP($E174,$O$35:$O$43,$T$35:$T$43)*G174/$P$9,"")</f>
        <v/>
      </c>
      <c r="K174" s="25" t="str">
        <f>IF(E174=$O$43,($D174/50-$T$43*$P$9)/$P$9,"")</f>
        <v/>
      </c>
      <c r="L174" s="25" t="str">
        <f>IFERROR(($D174/50-_xlfn.XLOOKUP($H174,$O$48:$O$62,$T$48:$T$62)*$P$14)/$P$9,"")</f>
        <v/>
      </c>
      <c r="M174" s="14">
        <f t="shared" si="2"/>
        <v>0</v>
      </c>
    </row>
    <row r="175" spans="2:13" x14ac:dyDescent="0.25">
      <c r="B175" s="10" t="str">
        <f>IF('Importér data'!C186="type",'Importér data'!F186,"")</f>
        <v/>
      </c>
      <c r="C175" s="10">
        <f>'Importér data'!H186</f>
        <v>0</v>
      </c>
      <c r="D175" s="32" t="str">
        <f>IF('Importér data'!C186="type",'Importér data'!N186,"")</f>
        <v/>
      </c>
      <c r="E175" s="24"/>
      <c r="F175" s="45"/>
      <c r="G175" s="45"/>
      <c r="H175" s="24"/>
      <c r="I175" s="25" t="str">
        <f>IFERROR(($D175/50-_xlfn.XLOOKUP($E175,$O$35:$O$43,$T$35:$T$43)*F175)/$P$9,"")</f>
        <v/>
      </c>
      <c r="J175" s="25" t="str">
        <f>IFERROR(_xlfn.XLOOKUP($E175,$O$35:$O$43,$T$35:$T$43)*G175/$P$9,"")</f>
        <v/>
      </c>
      <c r="K175" s="25" t="str">
        <f>IF(E175=$O$43,($D175/50-$T$43*$P$9)/$P$9,"")</f>
        <v/>
      </c>
      <c r="L175" s="25" t="str">
        <f>IFERROR(($D175/50-_xlfn.XLOOKUP($H175,$O$48:$O$62,$T$48:$T$62)*$P$14)/$P$9,"")</f>
        <v/>
      </c>
      <c r="M175" s="14">
        <f t="shared" si="2"/>
        <v>0</v>
      </c>
    </row>
    <row r="176" spans="2:13" x14ac:dyDescent="0.25">
      <c r="B176" s="10" t="str">
        <f>IF('Importér data'!C187="type",'Importér data'!F187,"")</f>
        <v/>
      </c>
      <c r="C176" s="10">
        <f>'Importér data'!H187</f>
        <v>0</v>
      </c>
      <c r="D176" s="32" t="str">
        <f>IF('Importér data'!C187="type",'Importér data'!N187,"")</f>
        <v/>
      </c>
      <c r="E176" s="24"/>
      <c r="F176" s="45"/>
      <c r="G176" s="45"/>
      <c r="H176" s="24"/>
      <c r="I176" s="25" t="str">
        <f>IFERROR(($D176/50-_xlfn.XLOOKUP($E176,$O$35:$O$43,$T$35:$T$43)*F176)/$P$9,"")</f>
        <v/>
      </c>
      <c r="J176" s="25" t="str">
        <f>IFERROR(_xlfn.XLOOKUP($E176,$O$35:$O$43,$T$35:$T$43)*G176/$P$9,"")</f>
        <v/>
      </c>
      <c r="K176" s="25" t="str">
        <f>IF(E176=$O$43,($D176/50-$T$43*$P$9)/$P$9,"")</f>
        <v/>
      </c>
      <c r="L176" s="25" t="str">
        <f>IFERROR(($D176/50-_xlfn.XLOOKUP($H176,$O$48:$O$62,$T$48:$T$62)*$P$14)/$P$9,"")</f>
        <v/>
      </c>
      <c r="M176" s="14">
        <f t="shared" si="2"/>
        <v>0</v>
      </c>
    </row>
    <row r="177" spans="2:13" x14ac:dyDescent="0.25">
      <c r="B177" s="10" t="str">
        <f>IF('Importér data'!C188="type",'Importér data'!F188,"")</f>
        <v/>
      </c>
      <c r="C177" s="10">
        <f>'Importér data'!H188</f>
        <v>0</v>
      </c>
      <c r="D177" s="32" t="str">
        <f>IF('Importér data'!C188="type",'Importér data'!N188,"")</f>
        <v/>
      </c>
      <c r="E177" s="24"/>
      <c r="F177" s="45"/>
      <c r="G177" s="45"/>
      <c r="H177" s="24"/>
      <c r="I177" s="25" t="str">
        <f>IFERROR(($D177/50-_xlfn.XLOOKUP($E177,$O$35:$O$43,$T$35:$T$43)*F177)/$P$9,"")</f>
        <v/>
      </c>
      <c r="J177" s="25" t="str">
        <f>IFERROR(_xlfn.XLOOKUP($E177,$O$35:$O$43,$T$35:$T$43)*G177/$P$9,"")</f>
        <v/>
      </c>
      <c r="K177" s="25" t="str">
        <f>IF(E177=$O$43,($D177/50-$T$43*$P$9)/$P$9,"")</f>
        <v/>
      </c>
      <c r="L177" s="25" t="str">
        <f>IFERROR(($D177/50-_xlfn.XLOOKUP($H177,$O$48:$O$62,$T$48:$T$62)*$P$14)/$P$9,"")</f>
        <v/>
      </c>
      <c r="M177" s="14">
        <f t="shared" si="2"/>
        <v>0</v>
      </c>
    </row>
    <row r="178" spans="2:13" x14ac:dyDescent="0.25">
      <c r="B178" s="10" t="str">
        <f>IF('Importér data'!C189="type",'Importér data'!F189,"")</f>
        <v/>
      </c>
      <c r="C178" s="10">
        <f>'Importér data'!H189</f>
        <v>0</v>
      </c>
      <c r="D178" s="32" t="str">
        <f>IF('Importér data'!C189="type",'Importér data'!N189,"")</f>
        <v/>
      </c>
      <c r="E178" s="24"/>
      <c r="F178" s="45"/>
      <c r="G178" s="45"/>
      <c r="H178" s="24"/>
      <c r="I178" s="25" t="str">
        <f>IFERROR(($D178/50-_xlfn.XLOOKUP($E178,$O$35:$O$43,$T$35:$T$43)*F178)/$P$9,"")</f>
        <v/>
      </c>
      <c r="J178" s="25" t="str">
        <f>IFERROR(_xlfn.XLOOKUP($E178,$O$35:$O$43,$T$35:$T$43)*G178/$P$9,"")</f>
        <v/>
      </c>
      <c r="K178" s="25" t="str">
        <f>IF(E178=$O$43,($D178/50-$T$43*$P$9)/$P$9,"")</f>
        <v/>
      </c>
      <c r="L178" s="25" t="str">
        <f>IFERROR(($D178/50-_xlfn.XLOOKUP($H178,$O$48:$O$62,$T$48:$T$62)*$P$14)/$P$9,"")</f>
        <v/>
      </c>
      <c r="M178" s="14">
        <f t="shared" si="2"/>
        <v>0</v>
      </c>
    </row>
    <row r="179" spans="2:13" x14ac:dyDescent="0.25">
      <c r="B179" s="10" t="str">
        <f>IF('Importér data'!C190="type",'Importér data'!F190,"")</f>
        <v/>
      </c>
      <c r="C179" s="10">
        <f>'Importér data'!H190</f>
        <v>0</v>
      </c>
      <c r="D179" s="32" t="str">
        <f>IF('Importér data'!C190="type",'Importér data'!N190,"")</f>
        <v/>
      </c>
      <c r="E179" s="24"/>
      <c r="F179" s="45"/>
      <c r="G179" s="45"/>
      <c r="H179" s="24"/>
      <c r="I179" s="25" t="str">
        <f>IFERROR(($D179/50-_xlfn.XLOOKUP($E179,$O$35:$O$43,$T$35:$T$43)*F179)/$P$9,"")</f>
        <v/>
      </c>
      <c r="J179" s="25" t="str">
        <f>IFERROR(_xlfn.XLOOKUP($E179,$O$35:$O$43,$T$35:$T$43)*G179/$P$9,"")</f>
        <v/>
      </c>
      <c r="K179" s="25" t="str">
        <f>IF(E179=$O$43,($D179/50-$T$43*$P$9)/$P$9,"")</f>
        <v/>
      </c>
      <c r="L179" s="25" t="str">
        <f>IFERROR(($D179/50-_xlfn.XLOOKUP($H179,$O$48:$O$62,$T$48:$T$62)*$P$14)/$P$9,"")</f>
        <v/>
      </c>
      <c r="M179" s="14">
        <f t="shared" si="2"/>
        <v>0</v>
      </c>
    </row>
    <row r="180" spans="2:13" x14ac:dyDescent="0.25">
      <c r="B180" s="10" t="str">
        <f>IF('Importér data'!C191="type",'Importér data'!F191,"")</f>
        <v/>
      </c>
      <c r="C180" s="10">
        <f>'Importér data'!H191</f>
        <v>0</v>
      </c>
      <c r="D180" s="32" t="str">
        <f>IF('Importér data'!C191="type",'Importér data'!N191,"")</f>
        <v/>
      </c>
      <c r="E180" s="24"/>
      <c r="F180" s="45"/>
      <c r="G180" s="45"/>
      <c r="H180" s="24"/>
      <c r="I180" s="25" t="str">
        <f>IFERROR(($D180/50-_xlfn.XLOOKUP($E180,$O$35:$O$43,$T$35:$T$43)*F180)/$P$9,"")</f>
        <v/>
      </c>
      <c r="J180" s="25" t="str">
        <f>IFERROR(_xlfn.XLOOKUP($E180,$O$35:$O$43,$T$35:$T$43)*G180/$P$9,"")</f>
        <v/>
      </c>
      <c r="K180" s="25" t="str">
        <f>IF(E180=$O$43,($D180/50-$T$43*$P$9)/$P$9,"")</f>
        <v/>
      </c>
      <c r="L180" s="25" t="str">
        <f>IFERROR(($D180/50-_xlfn.XLOOKUP($H180,$O$48:$O$62,$T$48:$T$62)*$P$14)/$P$9,"")</f>
        <v/>
      </c>
      <c r="M180" s="14">
        <f t="shared" si="2"/>
        <v>0</v>
      </c>
    </row>
    <row r="181" spans="2:13" x14ac:dyDescent="0.25">
      <c r="B181" s="10" t="str">
        <f>IF('Importér data'!C192="type",'Importér data'!F192,"")</f>
        <v/>
      </c>
      <c r="C181" s="10">
        <f>'Importér data'!H192</f>
        <v>0</v>
      </c>
      <c r="D181" s="32" t="str">
        <f>IF('Importér data'!C192="type",'Importér data'!N192,"")</f>
        <v/>
      </c>
      <c r="E181" s="24"/>
      <c r="F181" s="45"/>
      <c r="G181" s="45"/>
      <c r="H181" s="24"/>
      <c r="I181" s="25" t="str">
        <f>IFERROR(($D181/50-_xlfn.XLOOKUP($E181,$O$35:$O$43,$T$35:$T$43)*F181)/$P$9,"")</f>
        <v/>
      </c>
      <c r="J181" s="25" t="str">
        <f>IFERROR(_xlfn.XLOOKUP($E181,$O$35:$O$43,$T$35:$T$43)*G181/$P$9,"")</f>
        <v/>
      </c>
      <c r="K181" s="25" t="str">
        <f>IF(E181=$O$43,($D181/50-$T$43*$P$9)/$P$9,"")</f>
        <v/>
      </c>
      <c r="L181" s="25" t="str">
        <f>IFERROR(($D181/50-_xlfn.XLOOKUP($H181,$O$48:$O$62,$T$48:$T$62)*$P$14)/$P$9,"")</f>
        <v/>
      </c>
      <c r="M181" s="14">
        <f t="shared" si="2"/>
        <v>0</v>
      </c>
    </row>
    <row r="182" spans="2:13" x14ac:dyDescent="0.25">
      <c r="B182" s="10" t="str">
        <f>IF('Importér data'!C193="type",'Importér data'!F193,"")</f>
        <v/>
      </c>
      <c r="C182" s="10">
        <f>'Importér data'!H193</f>
        <v>0</v>
      </c>
      <c r="D182" s="32" t="str">
        <f>IF('Importér data'!C193="type",'Importér data'!N193,"")</f>
        <v/>
      </c>
      <c r="E182" s="24"/>
      <c r="F182" s="45"/>
      <c r="G182" s="45"/>
      <c r="H182" s="24"/>
      <c r="I182" s="25" t="str">
        <f>IFERROR(($D182/50-_xlfn.XLOOKUP($E182,$O$35:$O$43,$T$35:$T$43)*F182)/$P$9,"")</f>
        <v/>
      </c>
      <c r="J182" s="25" t="str">
        <f>IFERROR(_xlfn.XLOOKUP($E182,$O$35:$O$43,$T$35:$T$43)*G182/$P$9,"")</f>
        <v/>
      </c>
      <c r="K182" s="25" t="str">
        <f>IF(E182=$O$43,($D182/50-$T$43*$P$9)/$P$9,"")</f>
        <v/>
      </c>
      <c r="L182" s="25" t="str">
        <f>IFERROR(($D182/50-_xlfn.XLOOKUP($H182,$O$48:$O$62,$T$48:$T$62)*$P$14)/$P$9,"")</f>
        <v/>
      </c>
      <c r="M182" s="14">
        <f t="shared" si="2"/>
        <v>0</v>
      </c>
    </row>
    <row r="183" spans="2:13" x14ac:dyDescent="0.25">
      <c r="B183" s="10" t="str">
        <f>IF('Importér data'!C194="type",'Importér data'!F194,"")</f>
        <v/>
      </c>
      <c r="C183" s="10">
        <f>'Importér data'!H194</f>
        <v>0</v>
      </c>
      <c r="D183" s="32" t="str">
        <f>IF('Importér data'!C194="type",'Importér data'!N194,"")</f>
        <v/>
      </c>
      <c r="E183" s="24"/>
      <c r="F183" s="45"/>
      <c r="G183" s="45"/>
      <c r="H183" s="24"/>
      <c r="I183" s="25" t="str">
        <f>IFERROR(($D183/50-_xlfn.XLOOKUP($E183,$O$35:$O$43,$T$35:$T$43)*F183)/$P$9,"")</f>
        <v/>
      </c>
      <c r="J183" s="25" t="str">
        <f>IFERROR(_xlfn.XLOOKUP($E183,$O$35:$O$43,$T$35:$T$43)*G183/$P$9,"")</f>
        <v/>
      </c>
      <c r="K183" s="25" t="str">
        <f>IF(E183=$O$43,($D183/50-$T$43*$P$9)/$P$9,"")</f>
        <v/>
      </c>
      <c r="L183" s="25" t="str">
        <f>IFERROR(($D183/50-_xlfn.XLOOKUP($H183,$O$48:$O$62,$T$48:$T$62)*$P$14)/$P$9,"")</f>
        <v/>
      </c>
      <c r="M183" s="14">
        <f t="shared" si="2"/>
        <v>0</v>
      </c>
    </row>
    <row r="184" spans="2:13" x14ac:dyDescent="0.25">
      <c r="B184" s="10" t="str">
        <f>IF('Importér data'!C195="type",'Importér data'!F195,"")</f>
        <v/>
      </c>
      <c r="C184" s="10">
        <f>'Importér data'!H195</f>
        <v>0</v>
      </c>
      <c r="D184" s="32" t="str">
        <f>IF('Importér data'!C195="type",'Importér data'!N195,"")</f>
        <v/>
      </c>
      <c r="E184" s="24"/>
      <c r="F184" s="45"/>
      <c r="G184" s="45"/>
      <c r="H184" s="24"/>
      <c r="I184" s="25" t="str">
        <f>IFERROR(($D184/50-_xlfn.XLOOKUP($E184,$O$35:$O$43,$T$35:$T$43)*F184)/$P$9,"")</f>
        <v/>
      </c>
      <c r="J184" s="25" t="str">
        <f>IFERROR(_xlfn.XLOOKUP($E184,$O$35:$O$43,$T$35:$T$43)*G184/$P$9,"")</f>
        <v/>
      </c>
      <c r="K184" s="25" t="str">
        <f>IF(E184=$O$43,($D184/50-$T$43*$P$9)/$P$9,"")</f>
        <v/>
      </c>
      <c r="L184" s="25" t="str">
        <f>IFERROR(($D184/50-_xlfn.XLOOKUP($H184,$O$48:$O$62,$T$48:$T$62)*$P$14)/$P$9,"")</f>
        <v/>
      </c>
      <c r="M184" s="14">
        <f t="shared" si="2"/>
        <v>0</v>
      </c>
    </row>
    <row r="185" spans="2:13" x14ac:dyDescent="0.25">
      <c r="B185" s="10" t="str">
        <f>IF('Importér data'!C196="type",'Importér data'!F196,"")</f>
        <v/>
      </c>
      <c r="C185" s="10">
        <f>'Importér data'!H196</f>
        <v>0</v>
      </c>
      <c r="D185" s="32" t="str">
        <f>IF('Importér data'!C196="type",'Importér data'!N196,"")</f>
        <v/>
      </c>
      <c r="E185" s="24"/>
      <c r="F185" s="45"/>
      <c r="G185" s="45"/>
      <c r="H185" s="24"/>
      <c r="I185" s="25" t="str">
        <f>IFERROR(($D185/50-_xlfn.XLOOKUP($E185,$O$35:$O$43,$T$35:$T$43)*F185)/$P$9,"")</f>
        <v/>
      </c>
      <c r="J185" s="25" t="str">
        <f>IFERROR(_xlfn.XLOOKUP($E185,$O$35:$O$43,$T$35:$T$43)*G185/$P$9,"")</f>
        <v/>
      </c>
      <c r="K185" s="25" t="str">
        <f>IF(E185=$O$43,($D185/50-$T$43*$P$9)/$P$9,"")</f>
        <v/>
      </c>
      <c r="L185" s="25" t="str">
        <f>IFERROR(($D185/50-_xlfn.XLOOKUP($H185,$O$48:$O$62,$T$48:$T$62)*$P$14)/$P$9,"")</f>
        <v/>
      </c>
      <c r="M185" s="14">
        <f t="shared" si="2"/>
        <v>0</v>
      </c>
    </row>
    <row r="186" spans="2:13" x14ac:dyDescent="0.25">
      <c r="B186" s="10" t="str">
        <f>IF('Importér data'!C197="type",'Importér data'!F197,"")</f>
        <v/>
      </c>
      <c r="C186" s="10">
        <f>'Importér data'!H197</f>
        <v>0</v>
      </c>
      <c r="D186" s="32" t="str">
        <f>IF('Importér data'!C197="type",'Importér data'!N197,"")</f>
        <v/>
      </c>
      <c r="E186" s="24"/>
      <c r="F186" s="45"/>
      <c r="G186" s="45"/>
      <c r="H186" s="24"/>
      <c r="I186" s="25" t="str">
        <f>IFERROR(($D186/50-_xlfn.XLOOKUP($E186,$O$35:$O$43,$T$35:$T$43)*F186)/$P$9,"")</f>
        <v/>
      </c>
      <c r="J186" s="25" t="str">
        <f>IFERROR(_xlfn.XLOOKUP($E186,$O$35:$O$43,$T$35:$T$43)*G186/$P$9,"")</f>
        <v/>
      </c>
      <c r="K186" s="25" t="str">
        <f>IF(E186=$O$43,($D186/50-$T$43*$P$9)/$P$9,"")</f>
        <v/>
      </c>
      <c r="L186" s="25" t="str">
        <f>IFERROR(($D186/50-_xlfn.XLOOKUP($H186,$O$48:$O$62,$T$48:$T$62)*$P$14)/$P$9,"")</f>
        <v/>
      </c>
      <c r="M186" s="14">
        <f t="shared" si="2"/>
        <v>0</v>
      </c>
    </row>
    <row r="187" spans="2:13" x14ac:dyDescent="0.25">
      <c r="B187" s="10" t="str">
        <f>IF('Importér data'!C198="type",'Importér data'!F198,"")</f>
        <v/>
      </c>
      <c r="C187" s="10">
        <f>'Importér data'!H198</f>
        <v>0</v>
      </c>
      <c r="D187" s="32" t="str">
        <f>IF('Importér data'!C198="type",'Importér data'!N198,"")</f>
        <v/>
      </c>
      <c r="E187" s="24"/>
      <c r="F187" s="45"/>
      <c r="G187" s="45"/>
      <c r="H187" s="24"/>
      <c r="I187" s="25" t="str">
        <f>IFERROR(($D187/50-_xlfn.XLOOKUP($E187,$O$35:$O$43,$T$35:$T$43)*F187)/$P$9,"")</f>
        <v/>
      </c>
      <c r="J187" s="25" t="str">
        <f>IFERROR(_xlfn.XLOOKUP($E187,$O$35:$O$43,$T$35:$T$43)*G187/$P$9,"")</f>
        <v/>
      </c>
      <c r="K187" s="25" t="str">
        <f>IF(E187=$O$43,($D187/50-$T$43*$P$9)/$P$9,"")</f>
        <v/>
      </c>
      <c r="L187" s="25" t="str">
        <f>IFERROR(($D187/50-_xlfn.XLOOKUP($H187,$O$48:$O$62,$T$48:$T$62)*$P$14)/$P$9,"")</f>
        <v/>
      </c>
      <c r="M187" s="14">
        <f t="shared" si="2"/>
        <v>0</v>
      </c>
    </row>
    <row r="188" spans="2:13" x14ac:dyDescent="0.25">
      <c r="B188" s="10" t="str">
        <f>IF('Importér data'!C199="type",'Importér data'!F199,"")</f>
        <v/>
      </c>
      <c r="C188" s="10">
        <f>'Importér data'!H199</f>
        <v>0</v>
      </c>
      <c r="D188" s="32" t="str">
        <f>IF('Importér data'!C199="type",'Importér data'!N199,"")</f>
        <v/>
      </c>
      <c r="E188" s="24"/>
      <c r="F188" s="45"/>
      <c r="G188" s="45"/>
      <c r="H188" s="24"/>
      <c r="I188" s="25" t="str">
        <f>IFERROR(($D188/50-_xlfn.XLOOKUP($E188,$O$35:$O$43,$T$35:$T$43)*F188)/$P$9,"")</f>
        <v/>
      </c>
      <c r="J188" s="25" t="str">
        <f>IFERROR(_xlfn.XLOOKUP($E188,$O$35:$O$43,$T$35:$T$43)*G188/$P$9,"")</f>
        <v/>
      </c>
      <c r="K188" s="25" t="str">
        <f>IF(E188=$O$43,($D188/50-$T$43*$P$9)/$P$9,"")</f>
        <v/>
      </c>
      <c r="L188" s="25" t="str">
        <f>IFERROR(($D188/50-_xlfn.XLOOKUP($H188,$O$48:$O$62,$T$48:$T$62)*$P$14)/$P$9,"")</f>
        <v/>
      </c>
      <c r="M188" s="14">
        <f t="shared" si="2"/>
        <v>0</v>
      </c>
    </row>
    <row r="189" spans="2:13" x14ac:dyDescent="0.25">
      <c r="B189" s="10" t="str">
        <f>IF('Importér data'!C200="type",'Importér data'!F200,"")</f>
        <v/>
      </c>
      <c r="C189" s="10">
        <f>'Importér data'!H200</f>
        <v>0</v>
      </c>
      <c r="D189" s="32" t="str">
        <f>IF('Importér data'!C200="type",'Importér data'!N200,"")</f>
        <v/>
      </c>
      <c r="E189" s="24"/>
      <c r="F189" s="45"/>
      <c r="G189" s="45"/>
      <c r="H189" s="24"/>
      <c r="I189" s="25" t="str">
        <f>IFERROR(($D189/50-_xlfn.XLOOKUP($E189,$O$35:$O$43,$T$35:$T$43)*F189)/$P$9,"")</f>
        <v/>
      </c>
      <c r="J189" s="25" t="str">
        <f>IFERROR(_xlfn.XLOOKUP($E189,$O$35:$O$43,$T$35:$T$43)*G189/$P$9,"")</f>
        <v/>
      </c>
      <c r="K189" s="25" t="str">
        <f>IF(E189=$O$43,($D189/50-$T$43*$P$9)/$P$9,"")</f>
        <v/>
      </c>
      <c r="L189" s="25" t="str">
        <f>IFERROR(($D189/50-_xlfn.XLOOKUP($H189,$O$48:$O$62,$T$48:$T$62)*$P$14)/$P$9,"")</f>
        <v/>
      </c>
      <c r="M189" s="14">
        <f t="shared" si="2"/>
        <v>0</v>
      </c>
    </row>
    <row r="190" spans="2:13" x14ac:dyDescent="0.25">
      <c r="B190" s="10" t="str">
        <f>IF('Importér data'!C201="type",'Importér data'!F201,"")</f>
        <v/>
      </c>
      <c r="C190" s="10">
        <f>'Importér data'!H201</f>
        <v>0</v>
      </c>
      <c r="D190" s="32" t="str">
        <f>IF('Importér data'!C201="type",'Importér data'!N201,"")</f>
        <v/>
      </c>
      <c r="E190" s="24"/>
      <c r="F190" s="45"/>
      <c r="G190" s="45"/>
      <c r="H190" s="24"/>
      <c r="I190" s="25" t="str">
        <f>IFERROR(($D190/50-_xlfn.XLOOKUP($E190,$O$35:$O$43,$T$35:$T$43)*F190)/$P$9,"")</f>
        <v/>
      </c>
      <c r="J190" s="25" t="str">
        <f>IFERROR(_xlfn.XLOOKUP($E190,$O$35:$O$43,$T$35:$T$43)*G190/$P$9,"")</f>
        <v/>
      </c>
      <c r="K190" s="25" t="str">
        <f>IF(E190=$O$43,($D190/50-$T$43*$P$9)/$P$9,"")</f>
        <v/>
      </c>
      <c r="L190" s="25" t="str">
        <f>IFERROR(($D190/50-_xlfn.XLOOKUP($H190,$O$48:$O$62,$T$48:$T$62)*$P$14)/$P$9,"")</f>
        <v/>
      </c>
      <c r="M190" s="14">
        <f t="shared" si="2"/>
        <v>0</v>
      </c>
    </row>
    <row r="191" spans="2:13" x14ac:dyDescent="0.25">
      <c r="B191" s="10" t="str">
        <f>IF('Importér data'!C202="type",'Importér data'!F202,"")</f>
        <v/>
      </c>
      <c r="C191" s="10">
        <f>'Importér data'!H202</f>
        <v>0</v>
      </c>
      <c r="D191" s="32" t="str">
        <f>IF('Importér data'!C202="type",'Importér data'!N202,"")</f>
        <v/>
      </c>
      <c r="E191" s="24"/>
      <c r="F191" s="45"/>
      <c r="G191" s="45"/>
      <c r="H191" s="24"/>
      <c r="I191" s="25" t="str">
        <f>IFERROR(($D191/50-_xlfn.XLOOKUP($E191,$O$35:$O$43,$T$35:$T$43)*F191)/$P$9,"")</f>
        <v/>
      </c>
      <c r="J191" s="25" t="str">
        <f>IFERROR(_xlfn.XLOOKUP($E191,$O$35:$O$43,$T$35:$T$43)*G191/$P$9,"")</f>
        <v/>
      </c>
      <c r="K191" s="25" t="str">
        <f>IF(E191=$O$43,($D191/50-$T$43*$P$9)/$P$9,"")</f>
        <v/>
      </c>
      <c r="L191" s="25" t="str">
        <f>IFERROR(($D191/50-_xlfn.XLOOKUP($H191,$O$48:$O$62,$T$48:$T$62)*$P$14)/$P$9,"")</f>
        <v/>
      </c>
      <c r="M191" s="14">
        <f t="shared" si="2"/>
        <v>0</v>
      </c>
    </row>
    <row r="192" spans="2:13" x14ac:dyDescent="0.25">
      <c r="B192" s="10" t="str">
        <f>IF('Importér data'!C203="type",'Importér data'!F203,"")</f>
        <v/>
      </c>
      <c r="C192" s="10">
        <f>'Importér data'!H203</f>
        <v>0</v>
      </c>
      <c r="D192" s="32" t="str">
        <f>IF('Importér data'!C203="type",'Importér data'!N203,"")</f>
        <v/>
      </c>
      <c r="E192" s="24"/>
      <c r="F192" s="45"/>
      <c r="G192" s="45"/>
      <c r="H192" s="24"/>
      <c r="I192" s="25" t="str">
        <f>IFERROR(($D192/50-_xlfn.XLOOKUP($E192,$O$35:$O$43,$T$35:$T$43)*F192)/$P$9,"")</f>
        <v/>
      </c>
      <c r="J192" s="25" t="str">
        <f>IFERROR(_xlfn.XLOOKUP($E192,$O$35:$O$43,$T$35:$T$43)*G192/$P$9,"")</f>
        <v/>
      </c>
      <c r="K192" s="25" t="str">
        <f>IF(E192=$O$43,($D192/50-$T$43*$P$9)/$P$9,"")</f>
        <v/>
      </c>
      <c r="L192" s="25" t="str">
        <f>IFERROR(($D192/50-_xlfn.XLOOKUP($H192,$O$48:$O$62,$T$48:$T$62)*$P$14)/$P$9,"")</f>
        <v/>
      </c>
      <c r="M192" s="14">
        <f t="shared" si="2"/>
        <v>0</v>
      </c>
    </row>
    <row r="193" spans="2:13" x14ac:dyDescent="0.25">
      <c r="B193" s="10" t="str">
        <f>IF('Importér data'!C204="type",'Importér data'!F204,"")</f>
        <v/>
      </c>
      <c r="C193" s="10">
        <f>'Importér data'!H204</f>
        <v>0</v>
      </c>
      <c r="D193" s="32" t="str">
        <f>IF('Importér data'!C204="type",'Importér data'!N204,"")</f>
        <v/>
      </c>
      <c r="E193" s="24"/>
      <c r="F193" s="45"/>
      <c r="G193" s="45"/>
      <c r="H193" s="24"/>
      <c r="I193" s="25" t="str">
        <f>IFERROR(($D193/50-_xlfn.XLOOKUP($E193,$O$35:$O$43,$T$35:$T$43)*F193)/$P$9,"")</f>
        <v/>
      </c>
      <c r="J193" s="25" t="str">
        <f>IFERROR(_xlfn.XLOOKUP($E193,$O$35:$O$43,$T$35:$T$43)*G193/$P$9,"")</f>
        <v/>
      </c>
      <c r="K193" s="25" t="str">
        <f>IF(E193=$O$43,($D193/50-$T$43*$P$9)/$P$9,"")</f>
        <v/>
      </c>
      <c r="L193" s="25" t="str">
        <f>IFERROR(($D193/50-_xlfn.XLOOKUP($H193,$O$48:$O$62,$T$48:$T$62)*$P$14)/$P$9,"")</f>
        <v/>
      </c>
      <c r="M193" s="14">
        <f t="shared" si="2"/>
        <v>0</v>
      </c>
    </row>
    <row r="194" spans="2:13" x14ac:dyDescent="0.25">
      <c r="B194" s="10" t="str">
        <f>IF('Importér data'!C205="type",'Importér data'!F205,"")</f>
        <v/>
      </c>
      <c r="C194" s="10">
        <f>'Importér data'!H205</f>
        <v>0</v>
      </c>
      <c r="D194" s="32" t="str">
        <f>IF('Importér data'!C205="type",'Importér data'!N205,"")</f>
        <v/>
      </c>
      <c r="E194" s="24"/>
      <c r="F194" s="45"/>
      <c r="G194" s="45"/>
      <c r="H194" s="24"/>
      <c r="I194" s="25" t="str">
        <f>IFERROR(($D194/50-_xlfn.XLOOKUP($E194,$O$35:$O$43,$T$35:$T$43)*F194)/$P$9,"")</f>
        <v/>
      </c>
      <c r="J194" s="25" t="str">
        <f>IFERROR(_xlfn.XLOOKUP($E194,$O$35:$O$43,$T$35:$T$43)*G194/$P$9,"")</f>
        <v/>
      </c>
      <c r="K194" s="25" t="str">
        <f>IF(E194=$O$43,($D194/50-$T$43*$P$9)/$P$9,"")</f>
        <v/>
      </c>
      <c r="L194" s="25" t="str">
        <f>IFERROR(($D194/50-_xlfn.XLOOKUP($H194,$O$48:$O$62,$T$48:$T$62)*$P$14)/$P$9,"")</f>
        <v/>
      </c>
      <c r="M194" s="14">
        <f t="shared" si="2"/>
        <v>0</v>
      </c>
    </row>
    <row r="195" spans="2:13" x14ac:dyDescent="0.25">
      <c r="B195" s="10" t="str">
        <f>IF('Importér data'!C206="type",'Importér data'!F206,"")</f>
        <v/>
      </c>
      <c r="C195" s="10">
        <f>'Importér data'!H206</f>
        <v>0</v>
      </c>
      <c r="D195" s="32" t="str">
        <f>IF('Importér data'!C206="type",'Importér data'!N206,"")</f>
        <v/>
      </c>
      <c r="E195" s="24"/>
      <c r="F195" s="45"/>
      <c r="G195" s="45"/>
      <c r="H195" s="24"/>
      <c r="I195" s="25" t="str">
        <f>IFERROR(($D195/50-_xlfn.XLOOKUP($E195,$O$35:$O$43,$T$35:$T$43)*F195)/$P$9,"")</f>
        <v/>
      </c>
      <c r="J195" s="25" t="str">
        <f>IFERROR(_xlfn.XLOOKUP($E195,$O$35:$O$43,$T$35:$T$43)*G195/$P$9,"")</f>
        <v/>
      </c>
      <c r="K195" s="25" t="str">
        <f>IF(E195=$O$43,($D195/50-$T$43*$P$9)/$P$9,"")</f>
        <v/>
      </c>
      <c r="L195" s="25" t="str">
        <f>IFERROR(($D195/50-_xlfn.XLOOKUP($H195,$O$48:$O$62,$T$48:$T$62)*$P$14)/$P$9,"")</f>
        <v/>
      </c>
      <c r="M195" s="14">
        <f t="shared" si="2"/>
        <v>0</v>
      </c>
    </row>
    <row r="196" spans="2:13" x14ac:dyDescent="0.25">
      <c r="B196" s="10" t="str">
        <f>IF('Importér data'!C207="type",'Importér data'!F207,"")</f>
        <v/>
      </c>
      <c r="C196" s="10">
        <f>'Importér data'!H207</f>
        <v>0</v>
      </c>
      <c r="D196" s="32" t="str">
        <f>IF('Importér data'!C207="type",'Importér data'!N207,"")</f>
        <v/>
      </c>
      <c r="E196" s="24"/>
      <c r="F196" s="45"/>
      <c r="G196" s="45"/>
      <c r="H196" s="24"/>
      <c r="I196" s="25" t="str">
        <f>IFERROR(($D196/50-_xlfn.XLOOKUP($E196,$O$35:$O$43,$T$35:$T$43)*F196)/$P$9,"")</f>
        <v/>
      </c>
      <c r="J196" s="25" t="str">
        <f>IFERROR(_xlfn.XLOOKUP($E196,$O$35:$O$43,$T$35:$T$43)*G196/$P$9,"")</f>
        <v/>
      </c>
      <c r="K196" s="25" t="str">
        <f>IF(E196=$O$43,($D196/50-$T$43*$P$9)/$P$9,"")</f>
        <v/>
      </c>
      <c r="L196" s="25" t="str">
        <f>IFERROR(($D196/50-_xlfn.XLOOKUP($H196,$O$48:$O$62,$T$48:$T$62)*$P$14)/$P$9,"")</f>
        <v/>
      </c>
      <c r="M196" s="14">
        <f t="shared" si="2"/>
        <v>0</v>
      </c>
    </row>
    <row r="197" spans="2:13" x14ac:dyDescent="0.25">
      <c r="B197" s="10" t="str">
        <f>IF('Importér data'!C208="type",'Importér data'!F208,"")</f>
        <v/>
      </c>
      <c r="C197" s="10">
        <f>'Importér data'!H208</f>
        <v>0</v>
      </c>
      <c r="D197" s="32" t="str">
        <f>IF('Importér data'!C208="type",'Importér data'!N208,"")</f>
        <v/>
      </c>
      <c r="E197" s="24"/>
      <c r="F197" s="45"/>
      <c r="G197" s="45"/>
      <c r="H197" s="24"/>
      <c r="I197" s="25" t="str">
        <f>IFERROR(($D197/50-_xlfn.XLOOKUP($E197,$O$35:$O$43,$T$35:$T$43)*F197)/$P$9,"")</f>
        <v/>
      </c>
      <c r="J197" s="25" t="str">
        <f>IFERROR(_xlfn.XLOOKUP($E197,$O$35:$O$43,$T$35:$T$43)*G197/$P$9,"")</f>
        <v/>
      </c>
      <c r="K197" s="25" t="str">
        <f>IF(E197=$O$43,($D197/50-$T$43*$P$9)/$P$9,"")</f>
        <v/>
      </c>
      <c r="L197" s="25" t="str">
        <f>IFERROR(($D197/50-_xlfn.XLOOKUP($H197,$O$48:$O$62,$T$48:$T$62)*$P$14)/$P$9,"")</f>
        <v/>
      </c>
      <c r="M197" s="14">
        <f t="shared" si="2"/>
        <v>0</v>
      </c>
    </row>
    <row r="198" spans="2:13" x14ac:dyDescent="0.25">
      <c r="B198" s="10" t="str">
        <f>IF('Importér data'!C209="type",'Importér data'!F209,"")</f>
        <v/>
      </c>
      <c r="C198" s="10">
        <f>'Importér data'!H209</f>
        <v>0</v>
      </c>
      <c r="D198" s="32" t="str">
        <f>IF('Importér data'!C209="type",'Importér data'!N209,"")</f>
        <v/>
      </c>
      <c r="E198" s="24"/>
      <c r="F198" s="45"/>
      <c r="G198" s="45"/>
      <c r="H198" s="24"/>
      <c r="I198" s="25" t="str">
        <f>IFERROR(($D198/50-_xlfn.XLOOKUP($E198,$O$35:$O$43,$T$35:$T$43)*F198)/$P$9,"")</f>
        <v/>
      </c>
      <c r="J198" s="25" t="str">
        <f>IFERROR(_xlfn.XLOOKUP($E198,$O$35:$O$43,$T$35:$T$43)*G198/$P$9,"")</f>
        <v/>
      </c>
      <c r="K198" s="25" t="str">
        <f>IF(E198=$O$43,($D198/50-$T$43*$P$9)/$P$9,"")</f>
        <v/>
      </c>
      <c r="L198" s="25" t="str">
        <f>IFERROR(($D198/50-_xlfn.XLOOKUP($H198,$O$48:$O$62,$T$48:$T$62)*$P$14)/$P$9,"")</f>
        <v/>
      </c>
      <c r="M198" s="14">
        <f t="shared" ref="M198:M261" si="3">SUM(I198:L198)</f>
        <v>0</v>
      </c>
    </row>
    <row r="199" spans="2:13" x14ac:dyDescent="0.25">
      <c r="B199" s="10" t="str">
        <f>IF('Importér data'!C210="type",'Importér data'!F210,"")</f>
        <v/>
      </c>
      <c r="C199" s="10">
        <f>'Importér data'!H210</f>
        <v>0</v>
      </c>
      <c r="D199" s="32" t="str">
        <f>IF('Importér data'!C210="type",'Importér data'!N210,"")</f>
        <v/>
      </c>
      <c r="E199" s="24"/>
      <c r="F199" s="45"/>
      <c r="G199" s="45"/>
      <c r="H199" s="24"/>
      <c r="I199" s="25" t="str">
        <f>IFERROR(($D199/50-_xlfn.XLOOKUP($E199,$O$35:$O$43,$T$35:$T$43)*F199)/$P$9,"")</f>
        <v/>
      </c>
      <c r="J199" s="25" t="str">
        <f>IFERROR(_xlfn.XLOOKUP($E199,$O$35:$O$43,$T$35:$T$43)*G199/$P$9,"")</f>
        <v/>
      </c>
      <c r="K199" s="25" t="str">
        <f>IF(E199=$O$43,($D199/50-$T$43*$P$9)/$P$9,"")</f>
        <v/>
      </c>
      <c r="L199" s="25" t="str">
        <f>IFERROR(($D199/50-_xlfn.XLOOKUP($H199,$O$48:$O$62,$T$48:$T$62)*$P$14)/$P$9,"")</f>
        <v/>
      </c>
      <c r="M199" s="14">
        <f t="shared" si="3"/>
        <v>0</v>
      </c>
    </row>
    <row r="200" spans="2:13" x14ac:dyDescent="0.25">
      <c r="B200" s="10" t="str">
        <f>IF('Importér data'!C211="type",'Importér data'!F211,"")</f>
        <v/>
      </c>
      <c r="C200" s="10">
        <f>'Importér data'!H211</f>
        <v>0</v>
      </c>
      <c r="D200" s="32" t="str">
        <f>IF('Importér data'!C211="type",'Importér data'!N211,"")</f>
        <v/>
      </c>
      <c r="E200" s="24"/>
      <c r="F200" s="45"/>
      <c r="G200" s="45"/>
      <c r="H200" s="24"/>
      <c r="I200" s="25" t="str">
        <f>IFERROR(($D200/50-_xlfn.XLOOKUP($E200,$O$35:$O$43,$T$35:$T$43)*F200)/$P$9,"")</f>
        <v/>
      </c>
      <c r="J200" s="25" t="str">
        <f>IFERROR(_xlfn.XLOOKUP($E200,$O$35:$O$43,$T$35:$T$43)*G200/$P$9,"")</f>
        <v/>
      </c>
      <c r="K200" s="25" t="str">
        <f>IF(E200=$O$43,($D200/50-$T$43*$P$9)/$P$9,"")</f>
        <v/>
      </c>
      <c r="L200" s="25" t="str">
        <f>IFERROR(($D200/50-_xlfn.XLOOKUP($H200,$O$48:$O$62,$T$48:$T$62)*$P$14)/$P$9,"")</f>
        <v/>
      </c>
      <c r="M200" s="14">
        <f t="shared" si="3"/>
        <v>0</v>
      </c>
    </row>
    <row r="201" spans="2:13" x14ac:dyDescent="0.25">
      <c r="B201" s="10" t="str">
        <f>IF('Importér data'!C212="type",'Importér data'!F212,"")</f>
        <v/>
      </c>
      <c r="C201" s="10">
        <f>'Importér data'!H212</f>
        <v>0</v>
      </c>
      <c r="D201" s="32" t="str">
        <f>IF('Importér data'!C212="type",'Importér data'!N212,"")</f>
        <v/>
      </c>
      <c r="E201" s="24"/>
      <c r="F201" s="45"/>
      <c r="G201" s="45"/>
      <c r="H201" s="24"/>
      <c r="I201" s="25" t="str">
        <f>IFERROR(($D201/50-_xlfn.XLOOKUP($E201,$O$35:$O$43,$T$35:$T$43)*F201)/$P$9,"")</f>
        <v/>
      </c>
      <c r="J201" s="25" t="str">
        <f>IFERROR(_xlfn.XLOOKUP($E201,$O$35:$O$43,$T$35:$T$43)*G201/$P$9,"")</f>
        <v/>
      </c>
      <c r="K201" s="25" t="str">
        <f>IF(E201=$O$43,($D201/50-$T$43*$P$9)/$P$9,"")</f>
        <v/>
      </c>
      <c r="L201" s="25" t="str">
        <f>IFERROR(($D201/50-_xlfn.XLOOKUP($H201,$O$48:$O$62,$T$48:$T$62)*$P$14)/$P$9,"")</f>
        <v/>
      </c>
      <c r="M201" s="14">
        <f t="shared" si="3"/>
        <v>0</v>
      </c>
    </row>
    <row r="202" spans="2:13" x14ac:dyDescent="0.25">
      <c r="B202" s="10" t="str">
        <f>IF('Importér data'!C213="type",'Importér data'!F213,"")</f>
        <v/>
      </c>
      <c r="C202" s="10">
        <f>'Importér data'!H213</f>
        <v>0</v>
      </c>
      <c r="D202" s="32" t="str">
        <f>IF('Importér data'!C213="type",'Importér data'!N213,"")</f>
        <v/>
      </c>
      <c r="E202" s="24"/>
      <c r="F202" s="45"/>
      <c r="G202" s="45"/>
      <c r="H202" s="24"/>
      <c r="I202" s="25" t="str">
        <f>IFERROR(($D202/50-_xlfn.XLOOKUP($E202,$O$35:$O$43,$T$35:$T$43)*F202)/$P$9,"")</f>
        <v/>
      </c>
      <c r="J202" s="25" t="str">
        <f>IFERROR(_xlfn.XLOOKUP($E202,$O$35:$O$43,$T$35:$T$43)*G202/$P$9,"")</f>
        <v/>
      </c>
      <c r="K202" s="25" t="str">
        <f>IF(E202=$O$43,($D202/50-$T$43*$P$9)/$P$9,"")</f>
        <v/>
      </c>
      <c r="L202" s="25" t="str">
        <f>IFERROR(($D202/50-_xlfn.XLOOKUP($H202,$O$48:$O$62,$T$48:$T$62)*$P$14)/$P$9,"")</f>
        <v/>
      </c>
      <c r="M202" s="14">
        <f t="shared" si="3"/>
        <v>0</v>
      </c>
    </row>
    <row r="203" spans="2:13" x14ac:dyDescent="0.25">
      <c r="B203" s="10" t="str">
        <f>IF('Importér data'!C214="type",'Importér data'!F214,"")</f>
        <v/>
      </c>
      <c r="C203" s="10">
        <f>'Importér data'!H214</f>
        <v>0</v>
      </c>
      <c r="D203" s="32" t="str">
        <f>IF('Importér data'!C214="type",'Importér data'!N214,"")</f>
        <v/>
      </c>
      <c r="E203" s="24"/>
      <c r="F203" s="45"/>
      <c r="G203" s="45"/>
      <c r="H203" s="24"/>
      <c r="I203" s="25" t="str">
        <f>IFERROR(($D203/50-_xlfn.XLOOKUP($E203,$O$35:$O$43,$T$35:$T$43)*F203)/$P$9,"")</f>
        <v/>
      </c>
      <c r="J203" s="25" t="str">
        <f>IFERROR(_xlfn.XLOOKUP($E203,$O$35:$O$43,$T$35:$T$43)*G203/$P$9,"")</f>
        <v/>
      </c>
      <c r="K203" s="25" t="str">
        <f>IF(E203=$O$43,($D203/50-$T$43*$P$9)/$P$9,"")</f>
        <v/>
      </c>
      <c r="L203" s="25" t="str">
        <f>IFERROR(($D203/50-_xlfn.XLOOKUP($H203,$O$48:$O$62,$T$48:$T$62)*$P$14)/$P$9,"")</f>
        <v/>
      </c>
      <c r="M203" s="14">
        <f t="shared" si="3"/>
        <v>0</v>
      </c>
    </row>
    <row r="204" spans="2:13" x14ac:dyDescent="0.25">
      <c r="B204" s="10" t="str">
        <f>IF('Importér data'!C215="type",'Importér data'!F215,"")</f>
        <v/>
      </c>
      <c r="C204" s="10">
        <f>'Importér data'!H215</f>
        <v>0</v>
      </c>
      <c r="D204" s="32" t="str">
        <f>IF('Importér data'!C215="type",'Importér data'!N215,"")</f>
        <v/>
      </c>
      <c r="E204" s="24"/>
      <c r="F204" s="45"/>
      <c r="G204" s="45"/>
      <c r="H204" s="24"/>
      <c r="I204" s="25" t="str">
        <f>IFERROR(($D204/50-_xlfn.XLOOKUP($E204,$O$35:$O$43,$T$35:$T$43)*F204)/$P$9,"")</f>
        <v/>
      </c>
      <c r="J204" s="25" t="str">
        <f>IFERROR(_xlfn.XLOOKUP($E204,$O$35:$O$43,$T$35:$T$43)*G204/$P$9,"")</f>
        <v/>
      </c>
      <c r="K204" s="25" t="str">
        <f>IF(E204=$O$43,($D204/50-$T$43*$P$9)/$P$9,"")</f>
        <v/>
      </c>
      <c r="L204" s="25" t="str">
        <f>IFERROR(($D204/50-_xlfn.XLOOKUP($H204,$O$48:$O$62,$T$48:$T$62)*$P$14)/$P$9,"")</f>
        <v/>
      </c>
      <c r="M204" s="14">
        <f t="shared" si="3"/>
        <v>0</v>
      </c>
    </row>
    <row r="205" spans="2:13" x14ac:dyDescent="0.25">
      <c r="B205" s="10" t="str">
        <f>IF('Importér data'!C216="type",'Importér data'!F216,"")</f>
        <v/>
      </c>
      <c r="C205" s="10">
        <f>'Importér data'!H216</f>
        <v>0</v>
      </c>
      <c r="D205" s="32" t="str">
        <f>IF('Importér data'!C216="type",'Importér data'!N216,"")</f>
        <v/>
      </c>
      <c r="E205" s="24"/>
      <c r="F205" s="45"/>
      <c r="G205" s="45"/>
      <c r="H205" s="24"/>
      <c r="I205" s="25" t="str">
        <f>IFERROR(($D205/50-_xlfn.XLOOKUP($E205,$O$35:$O$43,$T$35:$T$43)*F205)/$P$9,"")</f>
        <v/>
      </c>
      <c r="J205" s="25" t="str">
        <f>IFERROR(_xlfn.XLOOKUP($E205,$O$35:$O$43,$T$35:$T$43)*G205/$P$9,"")</f>
        <v/>
      </c>
      <c r="K205" s="25" t="str">
        <f>IF(E205=$O$43,($D205/50-$T$43*$P$9)/$P$9,"")</f>
        <v/>
      </c>
      <c r="L205" s="25" t="str">
        <f>IFERROR(($D205/50-_xlfn.XLOOKUP($H205,$O$48:$O$62,$T$48:$T$62)*$P$14)/$P$9,"")</f>
        <v/>
      </c>
      <c r="M205" s="14">
        <f t="shared" si="3"/>
        <v>0</v>
      </c>
    </row>
    <row r="206" spans="2:13" x14ac:dyDescent="0.25">
      <c r="B206" s="10" t="str">
        <f>IF('Importér data'!C217="type",'Importér data'!F217,"")</f>
        <v/>
      </c>
      <c r="C206" s="10">
        <f>'Importér data'!H217</f>
        <v>0</v>
      </c>
      <c r="D206" s="32" t="str">
        <f>IF('Importér data'!C217="type",'Importér data'!N217,"")</f>
        <v/>
      </c>
      <c r="E206" s="24"/>
      <c r="F206" s="45"/>
      <c r="G206" s="45"/>
      <c r="H206" s="24"/>
      <c r="I206" s="25" t="str">
        <f>IFERROR(($D206/50-_xlfn.XLOOKUP($E206,$O$35:$O$43,$T$35:$T$43)*F206)/$P$9,"")</f>
        <v/>
      </c>
      <c r="J206" s="25" t="str">
        <f>IFERROR(_xlfn.XLOOKUP($E206,$O$35:$O$43,$T$35:$T$43)*G206/$P$9,"")</f>
        <v/>
      </c>
      <c r="K206" s="25" t="str">
        <f>IF(E206=$O$43,($D206/50-$T$43*$P$9)/$P$9,"")</f>
        <v/>
      </c>
      <c r="L206" s="25" t="str">
        <f>IFERROR(($D206/50-_xlfn.XLOOKUP($H206,$O$48:$O$62,$T$48:$T$62)*$P$14)/$P$9,"")</f>
        <v/>
      </c>
      <c r="M206" s="14">
        <f t="shared" si="3"/>
        <v>0</v>
      </c>
    </row>
    <row r="207" spans="2:13" x14ac:dyDescent="0.25">
      <c r="B207" s="10" t="str">
        <f>IF('Importér data'!C218="type",'Importér data'!F218,"")</f>
        <v/>
      </c>
      <c r="C207" s="10">
        <f>'Importér data'!H218</f>
        <v>0</v>
      </c>
      <c r="D207" s="32" t="str">
        <f>IF('Importér data'!C218="type",'Importér data'!N218,"")</f>
        <v/>
      </c>
      <c r="E207" s="24"/>
      <c r="F207" s="45"/>
      <c r="G207" s="45"/>
      <c r="H207" s="24"/>
      <c r="I207" s="25" t="str">
        <f>IFERROR(($D207/50-_xlfn.XLOOKUP($E207,$O$35:$O$43,$T$35:$T$43)*F207)/$P$9,"")</f>
        <v/>
      </c>
      <c r="J207" s="25" t="str">
        <f>IFERROR(_xlfn.XLOOKUP($E207,$O$35:$O$43,$T$35:$T$43)*G207/$P$9,"")</f>
        <v/>
      </c>
      <c r="K207" s="25" t="str">
        <f>IF(E207=$O$43,($D207/50-$T$43*$P$9)/$P$9,"")</f>
        <v/>
      </c>
      <c r="L207" s="25" t="str">
        <f>IFERROR(($D207/50-_xlfn.XLOOKUP($H207,$O$48:$O$62,$T$48:$T$62)*$P$14)/$P$9,"")</f>
        <v/>
      </c>
      <c r="M207" s="14">
        <f t="shared" si="3"/>
        <v>0</v>
      </c>
    </row>
    <row r="208" spans="2:13" x14ac:dyDescent="0.25">
      <c r="B208" s="10" t="str">
        <f>IF('Importér data'!C219="type",'Importér data'!F219,"")</f>
        <v/>
      </c>
      <c r="C208" s="10">
        <f>'Importér data'!H219</f>
        <v>0</v>
      </c>
      <c r="D208" s="32" t="str">
        <f>IF('Importér data'!C219="type",'Importér data'!N219,"")</f>
        <v/>
      </c>
      <c r="E208" s="24"/>
      <c r="F208" s="45"/>
      <c r="G208" s="45"/>
      <c r="H208" s="24"/>
      <c r="I208" s="25" t="str">
        <f>IFERROR(($D208/50-_xlfn.XLOOKUP($E208,$O$35:$O$43,$T$35:$T$43)*F208)/$P$9,"")</f>
        <v/>
      </c>
      <c r="J208" s="25" t="str">
        <f>IFERROR(_xlfn.XLOOKUP($E208,$O$35:$O$43,$T$35:$T$43)*G208/$P$9,"")</f>
        <v/>
      </c>
      <c r="K208" s="25" t="str">
        <f>IF(E208=$O$43,($D208/50-$T$43*$P$9)/$P$9,"")</f>
        <v/>
      </c>
      <c r="L208" s="25" t="str">
        <f>IFERROR(($D208/50-_xlfn.XLOOKUP($H208,$O$48:$O$62,$T$48:$T$62)*$P$14)/$P$9,"")</f>
        <v/>
      </c>
      <c r="M208" s="14">
        <f t="shared" si="3"/>
        <v>0</v>
      </c>
    </row>
    <row r="209" spans="2:13" x14ac:dyDescent="0.25">
      <c r="B209" s="10" t="str">
        <f>IF('Importér data'!C220="type",'Importér data'!F220,"")</f>
        <v/>
      </c>
      <c r="C209" s="10">
        <f>'Importér data'!H220</f>
        <v>0</v>
      </c>
      <c r="D209" s="32" t="str">
        <f>IF('Importér data'!C220="type",'Importér data'!N220,"")</f>
        <v/>
      </c>
      <c r="E209" s="24"/>
      <c r="F209" s="45"/>
      <c r="G209" s="45"/>
      <c r="H209" s="24"/>
      <c r="I209" s="25" t="str">
        <f>IFERROR(($D209/50-_xlfn.XLOOKUP($E209,$O$35:$O$43,$T$35:$T$43)*F209)/$P$9,"")</f>
        <v/>
      </c>
      <c r="J209" s="25" t="str">
        <f>IFERROR(_xlfn.XLOOKUP($E209,$O$35:$O$43,$T$35:$T$43)*G209/$P$9,"")</f>
        <v/>
      </c>
      <c r="K209" s="25" t="str">
        <f>IF(E209=$O$43,($D209/50-$T$43*$P$9)/$P$9,"")</f>
        <v/>
      </c>
      <c r="L209" s="25" t="str">
        <f>IFERROR(($D209/50-_xlfn.XLOOKUP($H209,$O$48:$O$62,$T$48:$T$62)*$P$14)/$P$9,"")</f>
        <v/>
      </c>
      <c r="M209" s="14">
        <f t="shared" si="3"/>
        <v>0</v>
      </c>
    </row>
    <row r="210" spans="2:13" x14ac:dyDescent="0.25">
      <c r="B210" s="10" t="str">
        <f>IF('Importér data'!C221="type",'Importér data'!F221,"")</f>
        <v/>
      </c>
      <c r="C210" s="10">
        <f>'Importér data'!H221</f>
        <v>0</v>
      </c>
      <c r="D210" s="32" t="str">
        <f>IF('Importér data'!C221="type",'Importér data'!N221,"")</f>
        <v/>
      </c>
      <c r="E210" s="24"/>
      <c r="F210" s="45"/>
      <c r="G210" s="45"/>
      <c r="H210" s="24"/>
      <c r="I210" s="25" t="str">
        <f>IFERROR(($D210/50-_xlfn.XLOOKUP($E210,$O$35:$O$43,$T$35:$T$43)*F210)/$P$9,"")</f>
        <v/>
      </c>
      <c r="J210" s="25" t="str">
        <f>IFERROR(_xlfn.XLOOKUP($E210,$O$35:$O$43,$T$35:$T$43)*G210/$P$9,"")</f>
        <v/>
      </c>
      <c r="K210" s="25" t="str">
        <f>IF(E210=$O$43,($D210/50-$T$43*$P$9)/$P$9,"")</f>
        <v/>
      </c>
      <c r="L210" s="25" t="str">
        <f>IFERROR(($D210/50-_xlfn.XLOOKUP($H210,$O$48:$O$62,$T$48:$T$62)*$P$14)/$P$9,"")</f>
        <v/>
      </c>
      <c r="M210" s="14">
        <f t="shared" si="3"/>
        <v>0</v>
      </c>
    </row>
    <row r="211" spans="2:13" x14ac:dyDescent="0.25">
      <c r="B211" s="10" t="str">
        <f>IF('Importér data'!C222="type",'Importér data'!F222,"")</f>
        <v/>
      </c>
      <c r="C211" s="10">
        <f>'Importér data'!H222</f>
        <v>0</v>
      </c>
      <c r="D211" s="32" t="str">
        <f>IF('Importér data'!C222="type",'Importér data'!N222,"")</f>
        <v/>
      </c>
      <c r="E211" s="24"/>
      <c r="F211" s="45"/>
      <c r="G211" s="45"/>
      <c r="H211" s="24"/>
      <c r="I211" s="25" t="str">
        <f>IFERROR(($D211/50-_xlfn.XLOOKUP($E211,$O$35:$O$43,$T$35:$T$43)*F211)/$P$9,"")</f>
        <v/>
      </c>
      <c r="J211" s="25" t="str">
        <f>IFERROR(_xlfn.XLOOKUP($E211,$O$35:$O$43,$T$35:$T$43)*G211/$P$9,"")</f>
        <v/>
      </c>
      <c r="K211" s="25" t="str">
        <f>IF(E211=$O$43,($D211/50-$T$43*$P$9)/$P$9,"")</f>
        <v/>
      </c>
      <c r="L211" s="25" t="str">
        <f>IFERROR(($D211/50-_xlfn.XLOOKUP($H211,$O$48:$O$62,$T$48:$T$62)*$P$14)/$P$9,"")</f>
        <v/>
      </c>
      <c r="M211" s="14">
        <f t="shared" si="3"/>
        <v>0</v>
      </c>
    </row>
    <row r="212" spans="2:13" x14ac:dyDescent="0.25">
      <c r="B212" s="10" t="str">
        <f>IF('Importér data'!C223="type",'Importér data'!F223,"")</f>
        <v/>
      </c>
      <c r="C212" s="10">
        <f>'Importér data'!H223</f>
        <v>0</v>
      </c>
      <c r="D212" s="32" t="str">
        <f>IF('Importér data'!C223="type",'Importér data'!N223,"")</f>
        <v/>
      </c>
      <c r="E212" s="24"/>
      <c r="F212" s="45"/>
      <c r="G212" s="45"/>
      <c r="H212" s="24"/>
      <c r="I212" s="25" t="str">
        <f>IFERROR(($D212/50-_xlfn.XLOOKUP($E212,$O$35:$O$43,$T$35:$T$43)*F212)/$P$9,"")</f>
        <v/>
      </c>
      <c r="J212" s="25" t="str">
        <f>IFERROR(_xlfn.XLOOKUP($E212,$O$35:$O$43,$T$35:$T$43)*G212/$P$9,"")</f>
        <v/>
      </c>
      <c r="K212" s="25" t="str">
        <f>IF(E212=$O$43,($D212/50-$T$43*$P$9)/$P$9,"")</f>
        <v/>
      </c>
      <c r="L212" s="25" t="str">
        <f>IFERROR(($D212/50-_xlfn.XLOOKUP($H212,$O$48:$O$62,$T$48:$T$62)*$P$14)/$P$9,"")</f>
        <v/>
      </c>
      <c r="M212" s="14">
        <f t="shared" si="3"/>
        <v>0</v>
      </c>
    </row>
    <row r="213" spans="2:13" x14ac:dyDescent="0.25">
      <c r="B213" s="10" t="str">
        <f>IF('Importér data'!C224="type",'Importér data'!F224,"")</f>
        <v/>
      </c>
      <c r="C213" s="10">
        <f>'Importér data'!H224</f>
        <v>0</v>
      </c>
      <c r="D213" s="32" t="str">
        <f>IF('Importér data'!C224="type",'Importér data'!N224,"")</f>
        <v/>
      </c>
      <c r="E213" s="24"/>
      <c r="F213" s="45"/>
      <c r="G213" s="45"/>
      <c r="H213" s="24"/>
      <c r="I213" s="25" t="str">
        <f>IFERROR(($D213/50-_xlfn.XLOOKUP($E213,$O$35:$O$43,$T$35:$T$43)*F213)/$P$9,"")</f>
        <v/>
      </c>
      <c r="J213" s="25" t="str">
        <f>IFERROR(_xlfn.XLOOKUP($E213,$O$35:$O$43,$T$35:$T$43)*G213/$P$9,"")</f>
        <v/>
      </c>
      <c r="K213" s="25" t="str">
        <f>IF(E213=$O$43,($D213/50-$T$43*$P$9)/$P$9,"")</f>
        <v/>
      </c>
      <c r="L213" s="25" t="str">
        <f>IFERROR(($D213/50-_xlfn.XLOOKUP($H213,$O$48:$O$62,$T$48:$T$62)*$P$14)/$P$9,"")</f>
        <v/>
      </c>
      <c r="M213" s="14">
        <f t="shared" si="3"/>
        <v>0</v>
      </c>
    </row>
    <row r="214" spans="2:13" x14ac:dyDescent="0.25">
      <c r="B214" s="10" t="str">
        <f>IF('Importér data'!C225="type",'Importér data'!F225,"")</f>
        <v/>
      </c>
      <c r="C214" s="10">
        <f>'Importér data'!H225</f>
        <v>0</v>
      </c>
      <c r="D214" s="32" t="str">
        <f>IF('Importér data'!C225="type",'Importér data'!N225,"")</f>
        <v/>
      </c>
      <c r="E214" s="24"/>
      <c r="F214" s="45"/>
      <c r="G214" s="45"/>
      <c r="H214" s="24"/>
      <c r="I214" s="25" t="str">
        <f>IFERROR(($D214/50-_xlfn.XLOOKUP($E214,$O$35:$O$43,$T$35:$T$43)*F214)/$P$9,"")</f>
        <v/>
      </c>
      <c r="J214" s="25" t="str">
        <f>IFERROR(_xlfn.XLOOKUP($E214,$O$35:$O$43,$T$35:$T$43)*G214/$P$9,"")</f>
        <v/>
      </c>
      <c r="K214" s="25" t="str">
        <f>IF(E214=$O$43,($D214/50-$T$43*$P$9)/$P$9,"")</f>
        <v/>
      </c>
      <c r="L214" s="25" t="str">
        <f>IFERROR(($D214/50-_xlfn.XLOOKUP($H214,$O$48:$O$62,$T$48:$T$62)*$P$14)/$P$9,"")</f>
        <v/>
      </c>
      <c r="M214" s="14">
        <f t="shared" si="3"/>
        <v>0</v>
      </c>
    </row>
    <row r="215" spans="2:13" x14ac:dyDescent="0.25">
      <c r="B215" s="10" t="str">
        <f>IF('Importér data'!C226="type",'Importér data'!F226,"")</f>
        <v/>
      </c>
      <c r="C215" s="10">
        <f>'Importér data'!H226</f>
        <v>0</v>
      </c>
      <c r="D215" s="32" t="str">
        <f>IF('Importér data'!C226="type",'Importér data'!N226,"")</f>
        <v/>
      </c>
      <c r="E215" s="24"/>
      <c r="F215" s="45"/>
      <c r="G215" s="45"/>
      <c r="H215" s="24"/>
      <c r="I215" s="25" t="str">
        <f>IFERROR(($D215/50-_xlfn.XLOOKUP($E215,$O$35:$O$43,$T$35:$T$43)*F215)/$P$9,"")</f>
        <v/>
      </c>
      <c r="J215" s="25" t="str">
        <f>IFERROR(_xlfn.XLOOKUP($E215,$O$35:$O$43,$T$35:$T$43)*G215/$P$9,"")</f>
        <v/>
      </c>
      <c r="K215" s="25" t="str">
        <f>IF(E215=$O$43,($D215/50-$T$43*$P$9)/$P$9,"")</f>
        <v/>
      </c>
      <c r="L215" s="25" t="str">
        <f>IFERROR(($D215/50-_xlfn.XLOOKUP($H215,$O$48:$O$62,$T$48:$T$62)*$P$14)/$P$9,"")</f>
        <v/>
      </c>
      <c r="M215" s="14">
        <f t="shared" si="3"/>
        <v>0</v>
      </c>
    </row>
    <row r="216" spans="2:13" x14ac:dyDescent="0.25">
      <c r="B216" s="10" t="str">
        <f>IF('Importér data'!C227="type",'Importér data'!F227,"")</f>
        <v/>
      </c>
      <c r="C216" s="10">
        <f>'Importér data'!H227</f>
        <v>0</v>
      </c>
      <c r="D216" s="32" t="str">
        <f>IF('Importér data'!C227="type",'Importér data'!N227,"")</f>
        <v/>
      </c>
      <c r="E216" s="24"/>
      <c r="F216" s="45"/>
      <c r="G216" s="45"/>
      <c r="H216" s="24"/>
      <c r="I216" s="25" t="str">
        <f>IFERROR(($D216/50-_xlfn.XLOOKUP($E216,$O$35:$O$43,$T$35:$T$43)*F216)/$P$9,"")</f>
        <v/>
      </c>
      <c r="J216" s="25" t="str">
        <f>IFERROR(_xlfn.XLOOKUP($E216,$O$35:$O$43,$T$35:$T$43)*G216/$P$9,"")</f>
        <v/>
      </c>
      <c r="K216" s="25" t="str">
        <f>IF(E216=$O$43,($D216/50-$T$43*$P$9)/$P$9,"")</f>
        <v/>
      </c>
      <c r="L216" s="25" t="str">
        <f>IFERROR(($D216/50-_xlfn.XLOOKUP($H216,$O$48:$O$62,$T$48:$T$62)*$P$14)/$P$9,"")</f>
        <v/>
      </c>
      <c r="M216" s="14">
        <f t="shared" si="3"/>
        <v>0</v>
      </c>
    </row>
    <row r="217" spans="2:13" x14ac:dyDescent="0.25">
      <c r="B217" s="10" t="str">
        <f>IF('Importér data'!C228="type",'Importér data'!F228,"")</f>
        <v/>
      </c>
      <c r="C217" s="10">
        <f>'Importér data'!H228</f>
        <v>0</v>
      </c>
      <c r="D217" s="32" t="str">
        <f>IF('Importér data'!C228="type",'Importér data'!N228,"")</f>
        <v/>
      </c>
      <c r="E217" s="24"/>
      <c r="F217" s="45"/>
      <c r="G217" s="45"/>
      <c r="H217" s="24"/>
      <c r="I217" s="25" t="str">
        <f>IFERROR(($D217/50-_xlfn.XLOOKUP($E217,$O$35:$O$43,$T$35:$T$43)*F217)/$P$9,"")</f>
        <v/>
      </c>
      <c r="J217" s="25" t="str">
        <f>IFERROR(_xlfn.XLOOKUP($E217,$O$35:$O$43,$T$35:$T$43)*G217/$P$9,"")</f>
        <v/>
      </c>
      <c r="K217" s="25" t="str">
        <f>IF(E217=$O$43,($D217/50-$T$43*$P$9)/$P$9,"")</f>
        <v/>
      </c>
      <c r="L217" s="25" t="str">
        <f>IFERROR(($D217/50-_xlfn.XLOOKUP($H217,$O$48:$O$62,$T$48:$T$62)*$P$14)/$P$9,"")</f>
        <v/>
      </c>
      <c r="M217" s="14">
        <f t="shared" si="3"/>
        <v>0</v>
      </c>
    </row>
    <row r="218" spans="2:13" x14ac:dyDescent="0.25">
      <c r="B218" s="10" t="str">
        <f>IF('Importér data'!C229="type",'Importér data'!F229,"")</f>
        <v/>
      </c>
      <c r="C218" s="10">
        <f>'Importér data'!H229</f>
        <v>0</v>
      </c>
      <c r="D218" s="32" t="str">
        <f>IF('Importér data'!C229="type",'Importér data'!N229,"")</f>
        <v/>
      </c>
      <c r="E218" s="24"/>
      <c r="F218" s="45"/>
      <c r="G218" s="45"/>
      <c r="H218" s="24"/>
      <c r="I218" s="25" t="str">
        <f>IFERROR(($D218/50-_xlfn.XLOOKUP($E218,$O$35:$O$43,$T$35:$T$43)*F218)/$P$9,"")</f>
        <v/>
      </c>
      <c r="J218" s="25" t="str">
        <f>IFERROR(_xlfn.XLOOKUP($E218,$O$35:$O$43,$T$35:$T$43)*G218/$P$9,"")</f>
        <v/>
      </c>
      <c r="K218" s="25" t="str">
        <f>IF(E218=$O$43,($D218/50-$T$43*$P$9)/$P$9,"")</f>
        <v/>
      </c>
      <c r="L218" s="25" t="str">
        <f>IFERROR(($D218/50-_xlfn.XLOOKUP($H218,$O$48:$O$62,$T$48:$T$62)*$P$14)/$P$9,"")</f>
        <v/>
      </c>
      <c r="M218" s="14">
        <f t="shared" si="3"/>
        <v>0</v>
      </c>
    </row>
    <row r="219" spans="2:13" x14ac:dyDescent="0.25">
      <c r="B219" s="10" t="str">
        <f>IF('Importér data'!C230="type",'Importér data'!F230,"")</f>
        <v/>
      </c>
      <c r="C219" s="10">
        <f>'Importér data'!H230</f>
        <v>0</v>
      </c>
      <c r="D219" s="32" t="str">
        <f>IF('Importér data'!C230="type",'Importér data'!N230,"")</f>
        <v/>
      </c>
      <c r="E219" s="24"/>
      <c r="F219" s="45"/>
      <c r="G219" s="45"/>
      <c r="H219" s="24"/>
      <c r="I219" s="25" t="str">
        <f>IFERROR(($D219/50-_xlfn.XLOOKUP($E219,$O$35:$O$43,$T$35:$T$43)*F219)/$P$9,"")</f>
        <v/>
      </c>
      <c r="J219" s="25" t="str">
        <f>IFERROR(_xlfn.XLOOKUP($E219,$O$35:$O$43,$T$35:$T$43)*G219/$P$9,"")</f>
        <v/>
      </c>
      <c r="K219" s="25" t="str">
        <f>IF(E219=$O$43,($D219/50-$T$43*$P$9)/$P$9,"")</f>
        <v/>
      </c>
      <c r="L219" s="25" t="str">
        <f>IFERROR(($D219/50-_xlfn.XLOOKUP($H219,$O$48:$O$62,$T$48:$T$62)*$P$14)/$P$9,"")</f>
        <v/>
      </c>
      <c r="M219" s="14">
        <f t="shared" si="3"/>
        <v>0</v>
      </c>
    </row>
    <row r="220" spans="2:13" x14ac:dyDescent="0.25">
      <c r="B220" s="10" t="str">
        <f>IF('Importér data'!C231="type",'Importér data'!F231,"")</f>
        <v/>
      </c>
      <c r="C220" s="10">
        <f>'Importér data'!H231</f>
        <v>0</v>
      </c>
      <c r="D220" s="32" t="str">
        <f>IF('Importér data'!C231="type",'Importér data'!N231,"")</f>
        <v/>
      </c>
      <c r="E220" s="24"/>
      <c r="F220" s="45"/>
      <c r="G220" s="45"/>
      <c r="H220" s="24"/>
      <c r="I220" s="25" t="str">
        <f>IFERROR(($D220/50-_xlfn.XLOOKUP($E220,$O$35:$O$43,$T$35:$T$43)*F220)/$P$9,"")</f>
        <v/>
      </c>
      <c r="J220" s="25" t="str">
        <f>IFERROR(_xlfn.XLOOKUP($E220,$O$35:$O$43,$T$35:$T$43)*G220/$P$9,"")</f>
        <v/>
      </c>
      <c r="K220" s="25" t="str">
        <f>IF(E220=$O$43,($D220/50-$T$43*$P$9)/$P$9,"")</f>
        <v/>
      </c>
      <c r="L220" s="25" t="str">
        <f>IFERROR(($D220/50-_xlfn.XLOOKUP($H220,$O$48:$O$62,$T$48:$T$62)*$P$14)/$P$9,"")</f>
        <v/>
      </c>
      <c r="M220" s="14">
        <f t="shared" si="3"/>
        <v>0</v>
      </c>
    </row>
    <row r="221" spans="2:13" x14ac:dyDescent="0.25">
      <c r="B221" s="10" t="str">
        <f>IF('Importér data'!C232="type",'Importér data'!F232,"")</f>
        <v/>
      </c>
      <c r="C221" s="10">
        <f>'Importér data'!H232</f>
        <v>0</v>
      </c>
      <c r="D221" s="32" t="str">
        <f>IF('Importér data'!C232="type",'Importér data'!N232,"")</f>
        <v/>
      </c>
      <c r="E221" s="24"/>
      <c r="F221" s="45"/>
      <c r="G221" s="45"/>
      <c r="H221" s="24"/>
      <c r="I221" s="25" t="str">
        <f>IFERROR(($D221/50-_xlfn.XLOOKUP($E221,$O$35:$O$43,$T$35:$T$43)*F221)/$P$9,"")</f>
        <v/>
      </c>
      <c r="J221" s="25" t="str">
        <f>IFERROR(_xlfn.XLOOKUP($E221,$O$35:$O$43,$T$35:$T$43)*G221/$P$9,"")</f>
        <v/>
      </c>
      <c r="K221" s="25" t="str">
        <f>IF(E221=$O$43,($D221/50-$T$43*$P$9)/$P$9,"")</f>
        <v/>
      </c>
      <c r="L221" s="25" t="str">
        <f>IFERROR(($D221/50-_xlfn.XLOOKUP($H221,$O$48:$O$62,$T$48:$T$62)*$P$14)/$P$9,"")</f>
        <v/>
      </c>
      <c r="M221" s="14">
        <f t="shared" si="3"/>
        <v>0</v>
      </c>
    </row>
    <row r="222" spans="2:13" x14ac:dyDescent="0.25">
      <c r="B222" s="10" t="str">
        <f>IF('Importér data'!C233="type",'Importér data'!F233,"")</f>
        <v/>
      </c>
      <c r="C222" s="10">
        <f>'Importér data'!H233</f>
        <v>0</v>
      </c>
      <c r="D222" s="32" t="str">
        <f>IF('Importér data'!C233="type",'Importér data'!N233,"")</f>
        <v/>
      </c>
      <c r="E222" s="24"/>
      <c r="F222" s="45"/>
      <c r="G222" s="45"/>
      <c r="H222" s="24"/>
      <c r="I222" s="25" t="str">
        <f>IFERROR(($D222/50-_xlfn.XLOOKUP($E222,$O$35:$O$43,$T$35:$T$43)*F222)/$P$9,"")</f>
        <v/>
      </c>
      <c r="J222" s="25" t="str">
        <f>IFERROR(_xlfn.XLOOKUP($E222,$O$35:$O$43,$T$35:$T$43)*G222/$P$9,"")</f>
        <v/>
      </c>
      <c r="K222" s="25" t="str">
        <f>IF(E222=$O$43,($D222/50-$T$43*$P$9)/$P$9,"")</f>
        <v/>
      </c>
      <c r="L222" s="25" t="str">
        <f>IFERROR(($D222/50-_xlfn.XLOOKUP($H222,$O$48:$O$62,$T$48:$T$62)*$P$14)/$P$9,"")</f>
        <v/>
      </c>
      <c r="M222" s="14">
        <f t="shared" si="3"/>
        <v>0</v>
      </c>
    </row>
    <row r="223" spans="2:13" x14ac:dyDescent="0.25">
      <c r="B223" s="10" t="str">
        <f>IF('Importér data'!C234="type",'Importér data'!F234,"")</f>
        <v/>
      </c>
      <c r="C223" s="10">
        <f>'Importér data'!H234</f>
        <v>0</v>
      </c>
      <c r="D223" s="32" t="str">
        <f>IF('Importér data'!C234="type",'Importér data'!N234,"")</f>
        <v/>
      </c>
      <c r="E223" s="24"/>
      <c r="F223" s="45"/>
      <c r="G223" s="45"/>
      <c r="H223" s="24"/>
      <c r="I223" s="25" t="str">
        <f>IFERROR(($D223/50-_xlfn.XLOOKUP($E223,$O$35:$O$43,$T$35:$T$43)*F223)/$P$9,"")</f>
        <v/>
      </c>
      <c r="J223" s="25" t="str">
        <f>IFERROR(_xlfn.XLOOKUP($E223,$O$35:$O$43,$T$35:$T$43)*G223/$P$9,"")</f>
        <v/>
      </c>
      <c r="K223" s="25" t="str">
        <f>IF(E223=$O$43,($D223/50-$T$43*$P$9)/$P$9,"")</f>
        <v/>
      </c>
      <c r="L223" s="25" t="str">
        <f>IFERROR(($D223/50-_xlfn.XLOOKUP($H223,$O$48:$O$62,$T$48:$T$62)*$P$14)/$P$9,"")</f>
        <v/>
      </c>
      <c r="M223" s="14">
        <f t="shared" si="3"/>
        <v>0</v>
      </c>
    </row>
    <row r="224" spans="2:13" x14ac:dyDescent="0.25">
      <c r="B224" s="10" t="str">
        <f>IF('Importér data'!C235="type",'Importér data'!F235,"")</f>
        <v/>
      </c>
      <c r="C224" s="10">
        <f>'Importér data'!H235</f>
        <v>0</v>
      </c>
      <c r="D224" s="32" t="str">
        <f>IF('Importér data'!C235="type",'Importér data'!N235,"")</f>
        <v/>
      </c>
      <c r="E224" s="24"/>
      <c r="F224" s="45"/>
      <c r="G224" s="45"/>
      <c r="H224" s="24"/>
      <c r="I224" s="25" t="str">
        <f>IFERROR(($D224/50-_xlfn.XLOOKUP($E224,$O$35:$O$43,$T$35:$T$43)*F224)/$P$9,"")</f>
        <v/>
      </c>
      <c r="J224" s="25" t="str">
        <f>IFERROR(_xlfn.XLOOKUP($E224,$O$35:$O$43,$T$35:$T$43)*G224/$P$9,"")</f>
        <v/>
      </c>
      <c r="K224" s="25" t="str">
        <f>IF(E224=$O$43,($D224/50-$T$43*$P$9)/$P$9,"")</f>
        <v/>
      </c>
      <c r="L224" s="25" t="str">
        <f>IFERROR(($D224/50-_xlfn.XLOOKUP($H224,$O$48:$O$62,$T$48:$T$62)*$P$14)/$P$9,"")</f>
        <v/>
      </c>
      <c r="M224" s="14">
        <f t="shared" si="3"/>
        <v>0</v>
      </c>
    </row>
    <row r="225" spans="2:13" x14ac:dyDescent="0.25">
      <c r="B225" s="10" t="str">
        <f>IF('Importér data'!C236="type",'Importér data'!F236,"")</f>
        <v/>
      </c>
      <c r="C225" s="10">
        <f>'Importér data'!H236</f>
        <v>0</v>
      </c>
      <c r="D225" s="32" t="str">
        <f>IF('Importér data'!C236="type",'Importér data'!N236,"")</f>
        <v/>
      </c>
      <c r="E225" s="24"/>
      <c r="F225" s="45"/>
      <c r="G225" s="45"/>
      <c r="H225" s="24"/>
      <c r="I225" s="25" t="str">
        <f>IFERROR(($D225/50-_xlfn.XLOOKUP($E225,$O$35:$O$43,$T$35:$T$43)*F225)/$P$9,"")</f>
        <v/>
      </c>
      <c r="J225" s="25" t="str">
        <f>IFERROR(_xlfn.XLOOKUP($E225,$O$35:$O$43,$T$35:$T$43)*G225/$P$9,"")</f>
        <v/>
      </c>
      <c r="K225" s="25" t="str">
        <f>IF(E225=$O$43,($D225/50-$T$43*$P$9)/$P$9,"")</f>
        <v/>
      </c>
      <c r="L225" s="25" t="str">
        <f>IFERROR(($D225/50-_xlfn.XLOOKUP($H225,$O$48:$O$62,$T$48:$T$62)*$P$14)/$P$9,"")</f>
        <v/>
      </c>
      <c r="M225" s="14">
        <f t="shared" si="3"/>
        <v>0</v>
      </c>
    </row>
    <row r="226" spans="2:13" x14ac:dyDescent="0.25">
      <c r="B226" s="10" t="str">
        <f>IF('Importér data'!C237="type",'Importér data'!F237,"")</f>
        <v/>
      </c>
      <c r="C226" s="10">
        <f>'Importér data'!H237</f>
        <v>0</v>
      </c>
      <c r="D226" s="32" t="str">
        <f>IF('Importér data'!C237="type",'Importér data'!N237,"")</f>
        <v/>
      </c>
      <c r="E226" s="24"/>
      <c r="F226" s="45"/>
      <c r="G226" s="45"/>
      <c r="H226" s="24"/>
      <c r="I226" s="25" t="str">
        <f>IFERROR(($D226/50-_xlfn.XLOOKUP($E226,$O$35:$O$43,$T$35:$T$43)*F226)/$P$9,"")</f>
        <v/>
      </c>
      <c r="J226" s="25" t="str">
        <f>IFERROR(_xlfn.XLOOKUP($E226,$O$35:$O$43,$T$35:$T$43)*G226/$P$9,"")</f>
        <v/>
      </c>
      <c r="K226" s="25" t="str">
        <f>IF(E226=$O$43,($D226/50-$T$43*$P$9)/$P$9,"")</f>
        <v/>
      </c>
      <c r="L226" s="25" t="str">
        <f>IFERROR(($D226/50-_xlfn.XLOOKUP($H226,$O$48:$O$62,$T$48:$T$62)*$P$14)/$P$9,"")</f>
        <v/>
      </c>
      <c r="M226" s="14">
        <f t="shared" si="3"/>
        <v>0</v>
      </c>
    </row>
    <row r="227" spans="2:13" x14ac:dyDescent="0.25">
      <c r="B227" s="10" t="str">
        <f>IF('Importér data'!C238="type",'Importér data'!F238,"")</f>
        <v/>
      </c>
      <c r="C227" s="10">
        <f>'Importér data'!H238</f>
        <v>0</v>
      </c>
      <c r="D227" s="32" t="str">
        <f>IF('Importér data'!C238="type",'Importér data'!N238,"")</f>
        <v/>
      </c>
      <c r="E227" s="24"/>
      <c r="F227" s="45"/>
      <c r="G227" s="45"/>
      <c r="H227" s="24"/>
      <c r="I227" s="25" t="str">
        <f>IFERROR(($D227/50-_xlfn.XLOOKUP($E227,$O$35:$O$43,$T$35:$T$43)*F227)/$P$9,"")</f>
        <v/>
      </c>
      <c r="J227" s="25" t="str">
        <f>IFERROR(_xlfn.XLOOKUP($E227,$O$35:$O$43,$T$35:$T$43)*G227/$P$9,"")</f>
        <v/>
      </c>
      <c r="K227" s="25" t="str">
        <f>IF(E227=$O$43,($D227/50-$T$43*$P$9)/$P$9,"")</f>
        <v/>
      </c>
      <c r="L227" s="25" t="str">
        <f>IFERROR(($D227/50-_xlfn.XLOOKUP($H227,$O$48:$O$62,$T$48:$T$62)*$P$14)/$P$9,"")</f>
        <v/>
      </c>
      <c r="M227" s="14">
        <f t="shared" si="3"/>
        <v>0</v>
      </c>
    </row>
    <row r="228" spans="2:13" x14ac:dyDescent="0.25">
      <c r="B228" s="10" t="str">
        <f>IF('Importér data'!C239="type",'Importér data'!F239,"")</f>
        <v/>
      </c>
      <c r="C228" s="10">
        <f>'Importér data'!H239</f>
        <v>0</v>
      </c>
      <c r="D228" s="32" t="str">
        <f>IF('Importér data'!C239="type",'Importér data'!N239,"")</f>
        <v/>
      </c>
      <c r="E228" s="24"/>
      <c r="F228" s="45"/>
      <c r="G228" s="45"/>
      <c r="H228" s="24"/>
      <c r="I228" s="25" t="str">
        <f>IFERROR(($D228/50-_xlfn.XLOOKUP($E228,$O$35:$O$43,$T$35:$T$43)*F228)/$P$9,"")</f>
        <v/>
      </c>
      <c r="J228" s="25" t="str">
        <f>IFERROR(_xlfn.XLOOKUP($E228,$O$35:$O$43,$T$35:$T$43)*G228/$P$9,"")</f>
        <v/>
      </c>
      <c r="K228" s="25" t="str">
        <f>IF(E228=$O$43,($D228/50-$T$43*$P$9)/$P$9,"")</f>
        <v/>
      </c>
      <c r="L228" s="25" t="str">
        <f>IFERROR(($D228/50-_xlfn.XLOOKUP($H228,$O$48:$O$62,$T$48:$T$62)*$P$14)/$P$9,"")</f>
        <v/>
      </c>
      <c r="M228" s="14">
        <f t="shared" si="3"/>
        <v>0</v>
      </c>
    </row>
    <row r="229" spans="2:13" x14ac:dyDescent="0.25">
      <c r="B229" s="10" t="str">
        <f>IF('Importér data'!C240="type",'Importér data'!F240,"")</f>
        <v/>
      </c>
      <c r="C229" s="10">
        <f>'Importér data'!H240</f>
        <v>0</v>
      </c>
      <c r="D229" s="32" t="str">
        <f>IF('Importér data'!C240="type",'Importér data'!N240,"")</f>
        <v/>
      </c>
      <c r="E229" s="24"/>
      <c r="F229" s="45"/>
      <c r="G229" s="45"/>
      <c r="H229" s="24"/>
      <c r="I229" s="25" t="str">
        <f>IFERROR(($D229/50-_xlfn.XLOOKUP($E229,$O$35:$O$43,$T$35:$T$43)*F229)/$P$9,"")</f>
        <v/>
      </c>
      <c r="J229" s="25" t="str">
        <f>IFERROR(_xlfn.XLOOKUP($E229,$O$35:$O$43,$T$35:$T$43)*G229/$P$9,"")</f>
        <v/>
      </c>
      <c r="K229" s="25" t="str">
        <f>IF(E229=$O$43,($D229/50-$T$43*$P$9)/$P$9,"")</f>
        <v/>
      </c>
      <c r="L229" s="25" t="str">
        <f>IFERROR(($D229/50-_xlfn.XLOOKUP($H229,$O$48:$O$62,$T$48:$T$62)*$P$14)/$P$9,"")</f>
        <v/>
      </c>
      <c r="M229" s="14">
        <f t="shared" si="3"/>
        <v>0</v>
      </c>
    </row>
    <row r="230" spans="2:13" x14ac:dyDescent="0.25">
      <c r="B230" s="10" t="str">
        <f>IF('Importér data'!C241="type",'Importér data'!F241,"")</f>
        <v/>
      </c>
      <c r="C230" s="10">
        <f>'Importér data'!H241</f>
        <v>0</v>
      </c>
      <c r="D230" s="32" t="str">
        <f>IF('Importér data'!C241="type",'Importér data'!N241,"")</f>
        <v/>
      </c>
      <c r="E230" s="24"/>
      <c r="F230" s="45"/>
      <c r="G230" s="45"/>
      <c r="H230" s="24"/>
      <c r="I230" s="25" t="str">
        <f>IFERROR(($D230/50-_xlfn.XLOOKUP($E230,$O$35:$O$43,$T$35:$T$43)*F230)/$P$9,"")</f>
        <v/>
      </c>
      <c r="J230" s="25" t="str">
        <f>IFERROR(_xlfn.XLOOKUP($E230,$O$35:$O$43,$T$35:$T$43)*G230/$P$9,"")</f>
        <v/>
      </c>
      <c r="K230" s="25" t="str">
        <f>IF(E230=$O$43,($D230/50-$T$43*$P$9)/$P$9,"")</f>
        <v/>
      </c>
      <c r="L230" s="25" t="str">
        <f>IFERROR(($D230/50-_xlfn.XLOOKUP($H230,$O$48:$O$62,$T$48:$T$62)*$P$14)/$P$9,"")</f>
        <v/>
      </c>
      <c r="M230" s="14">
        <f t="shared" si="3"/>
        <v>0</v>
      </c>
    </row>
    <row r="231" spans="2:13" x14ac:dyDescent="0.25">
      <c r="B231" s="10" t="str">
        <f>IF('Importér data'!C242="type",'Importér data'!F242,"")</f>
        <v/>
      </c>
      <c r="C231" s="10">
        <f>'Importér data'!H242</f>
        <v>0</v>
      </c>
      <c r="D231" s="32" t="str">
        <f>IF('Importér data'!C242="type",'Importér data'!N242,"")</f>
        <v/>
      </c>
      <c r="E231" s="24"/>
      <c r="F231" s="45"/>
      <c r="G231" s="45"/>
      <c r="H231" s="24"/>
      <c r="I231" s="25" t="str">
        <f>IFERROR(($D231/50-_xlfn.XLOOKUP($E231,$O$35:$O$43,$T$35:$T$43)*F231)/$P$9,"")</f>
        <v/>
      </c>
      <c r="J231" s="25" t="str">
        <f>IFERROR(_xlfn.XLOOKUP($E231,$O$35:$O$43,$T$35:$T$43)*G231/$P$9,"")</f>
        <v/>
      </c>
      <c r="K231" s="25" t="str">
        <f>IF(E231=$O$43,($D231/50-$T$43*$P$9)/$P$9,"")</f>
        <v/>
      </c>
      <c r="L231" s="25" t="str">
        <f>IFERROR(($D231/50-_xlfn.XLOOKUP($H231,$O$48:$O$62,$T$48:$T$62)*$P$14)/$P$9,"")</f>
        <v/>
      </c>
      <c r="M231" s="14">
        <f t="shared" si="3"/>
        <v>0</v>
      </c>
    </row>
    <row r="232" spans="2:13" x14ac:dyDescent="0.25">
      <c r="B232" s="10" t="str">
        <f>IF('Importér data'!C243="type",'Importér data'!F243,"")</f>
        <v/>
      </c>
      <c r="C232" s="10">
        <f>'Importér data'!H243</f>
        <v>0</v>
      </c>
      <c r="D232" s="32" t="str">
        <f>IF('Importér data'!C243="type",'Importér data'!N243,"")</f>
        <v/>
      </c>
      <c r="E232" s="24"/>
      <c r="F232" s="45"/>
      <c r="G232" s="45"/>
      <c r="H232" s="24"/>
      <c r="I232" s="25" t="str">
        <f>IFERROR(($D232/50-_xlfn.XLOOKUP($E232,$O$35:$O$43,$T$35:$T$43)*F232)/$P$9,"")</f>
        <v/>
      </c>
      <c r="J232" s="25" t="str">
        <f>IFERROR(_xlfn.XLOOKUP($E232,$O$35:$O$43,$T$35:$T$43)*G232/$P$9,"")</f>
        <v/>
      </c>
      <c r="K232" s="25" t="str">
        <f>IF(E232=$O$43,($D232/50-$T$43*$P$9)/$P$9,"")</f>
        <v/>
      </c>
      <c r="L232" s="25" t="str">
        <f>IFERROR(($D232/50-_xlfn.XLOOKUP($H232,$O$48:$O$62,$T$48:$T$62)*$P$14)/$P$9,"")</f>
        <v/>
      </c>
      <c r="M232" s="14">
        <f t="shared" si="3"/>
        <v>0</v>
      </c>
    </row>
    <row r="233" spans="2:13" x14ac:dyDescent="0.25">
      <c r="B233" s="10" t="str">
        <f>IF('Importér data'!C244="type",'Importér data'!F244,"")</f>
        <v/>
      </c>
      <c r="C233" s="10">
        <f>'Importér data'!H244</f>
        <v>0</v>
      </c>
      <c r="D233" s="32" t="str">
        <f>IF('Importér data'!C244="type",'Importér data'!N244,"")</f>
        <v/>
      </c>
      <c r="E233" s="24"/>
      <c r="F233" s="45"/>
      <c r="G233" s="45"/>
      <c r="H233" s="24"/>
      <c r="I233" s="25" t="str">
        <f>IFERROR(($D233/50-_xlfn.XLOOKUP($E233,$O$35:$O$43,$T$35:$T$43)*F233)/$P$9,"")</f>
        <v/>
      </c>
      <c r="J233" s="25" t="str">
        <f>IFERROR(_xlfn.XLOOKUP($E233,$O$35:$O$43,$T$35:$T$43)*G233/$P$9,"")</f>
        <v/>
      </c>
      <c r="K233" s="25" t="str">
        <f>IF(E233=$O$43,($D233/50-$T$43*$P$9)/$P$9,"")</f>
        <v/>
      </c>
      <c r="L233" s="25" t="str">
        <f>IFERROR(($D233/50-_xlfn.XLOOKUP($H233,$O$48:$O$62,$T$48:$T$62)*$P$14)/$P$9,"")</f>
        <v/>
      </c>
      <c r="M233" s="14">
        <f t="shared" si="3"/>
        <v>0</v>
      </c>
    </row>
    <row r="234" spans="2:13" x14ac:dyDescent="0.25">
      <c r="B234" s="10" t="str">
        <f>IF('Importér data'!C245="type",'Importér data'!F245,"")</f>
        <v/>
      </c>
      <c r="C234" s="10">
        <f>'Importér data'!H245</f>
        <v>0</v>
      </c>
      <c r="D234" s="32" t="str">
        <f>IF('Importér data'!C245="type",'Importér data'!N245,"")</f>
        <v/>
      </c>
      <c r="E234" s="24"/>
      <c r="F234" s="45"/>
      <c r="G234" s="45"/>
      <c r="H234" s="24"/>
      <c r="I234" s="25" t="str">
        <f>IFERROR(($D234/50-_xlfn.XLOOKUP($E234,$O$35:$O$43,$T$35:$T$43)*F234)/$P$9,"")</f>
        <v/>
      </c>
      <c r="J234" s="25" t="str">
        <f>IFERROR(_xlfn.XLOOKUP($E234,$O$35:$O$43,$T$35:$T$43)*G234/$P$9,"")</f>
        <v/>
      </c>
      <c r="K234" s="25" t="str">
        <f>IF(E234=$O$43,($D234/50-$T$43*$P$9)/$P$9,"")</f>
        <v/>
      </c>
      <c r="L234" s="25" t="str">
        <f>IFERROR(($D234/50-_xlfn.XLOOKUP($H234,$O$48:$O$62,$T$48:$T$62)*$P$14)/$P$9,"")</f>
        <v/>
      </c>
      <c r="M234" s="14">
        <f t="shared" si="3"/>
        <v>0</v>
      </c>
    </row>
    <row r="235" spans="2:13" x14ac:dyDescent="0.25">
      <c r="B235" s="10" t="str">
        <f>IF('Importér data'!C246="type",'Importér data'!F246,"")</f>
        <v/>
      </c>
      <c r="C235" s="10">
        <f>'Importér data'!H246</f>
        <v>0</v>
      </c>
      <c r="D235" s="32" t="str">
        <f>IF('Importér data'!C246="type",'Importér data'!N246,"")</f>
        <v/>
      </c>
      <c r="E235" s="24"/>
      <c r="F235" s="45"/>
      <c r="G235" s="45"/>
      <c r="H235" s="24"/>
      <c r="I235" s="25" t="str">
        <f>IFERROR(($D235/50-_xlfn.XLOOKUP($E235,$O$35:$O$43,$T$35:$T$43)*F235)/$P$9,"")</f>
        <v/>
      </c>
      <c r="J235" s="25" t="str">
        <f>IFERROR(_xlfn.XLOOKUP($E235,$O$35:$O$43,$T$35:$T$43)*G235/$P$9,"")</f>
        <v/>
      </c>
      <c r="K235" s="25" t="str">
        <f>IF(E235=$O$43,($D235/50-$T$43*$P$9)/$P$9,"")</f>
        <v/>
      </c>
      <c r="L235" s="25" t="str">
        <f>IFERROR(($D235/50-_xlfn.XLOOKUP($H235,$O$48:$O$62,$T$48:$T$62)*$P$14)/$P$9,"")</f>
        <v/>
      </c>
      <c r="M235" s="14">
        <f t="shared" si="3"/>
        <v>0</v>
      </c>
    </row>
    <row r="236" spans="2:13" x14ac:dyDescent="0.25">
      <c r="B236" s="10" t="str">
        <f>IF('Importér data'!C247="type",'Importér data'!F247,"")</f>
        <v/>
      </c>
      <c r="C236" s="10">
        <f>'Importér data'!H247</f>
        <v>0</v>
      </c>
      <c r="D236" s="32" t="str">
        <f>IF('Importér data'!C247="type",'Importér data'!N247,"")</f>
        <v/>
      </c>
      <c r="E236" s="24"/>
      <c r="F236" s="45"/>
      <c r="G236" s="45"/>
      <c r="H236" s="24"/>
      <c r="I236" s="25" t="str">
        <f>IFERROR(($D236/50-_xlfn.XLOOKUP($E236,$O$35:$O$43,$T$35:$T$43)*F236)/$P$9,"")</f>
        <v/>
      </c>
      <c r="J236" s="25" t="str">
        <f>IFERROR(_xlfn.XLOOKUP($E236,$O$35:$O$43,$T$35:$T$43)*G236/$P$9,"")</f>
        <v/>
      </c>
      <c r="K236" s="25" t="str">
        <f>IF(E236=$O$43,($D236/50-$T$43*$P$9)/$P$9,"")</f>
        <v/>
      </c>
      <c r="L236" s="25" t="str">
        <f>IFERROR(($D236/50-_xlfn.XLOOKUP($H236,$O$48:$O$62,$T$48:$T$62)*$P$14)/$P$9,"")</f>
        <v/>
      </c>
      <c r="M236" s="14">
        <f t="shared" si="3"/>
        <v>0</v>
      </c>
    </row>
    <row r="237" spans="2:13" x14ac:dyDescent="0.25">
      <c r="B237" s="10" t="str">
        <f>IF('Importér data'!C248="type",'Importér data'!F248,"")</f>
        <v/>
      </c>
      <c r="C237" s="10">
        <f>'Importér data'!H248</f>
        <v>0</v>
      </c>
      <c r="D237" s="32" t="str">
        <f>IF('Importér data'!C248="type",'Importér data'!N248,"")</f>
        <v/>
      </c>
      <c r="E237" s="24"/>
      <c r="F237" s="45"/>
      <c r="G237" s="45"/>
      <c r="H237" s="24"/>
      <c r="I237" s="25" t="str">
        <f>IFERROR(($D237/50-_xlfn.XLOOKUP($E237,$O$35:$O$43,$T$35:$T$43)*F237)/$P$9,"")</f>
        <v/>
      </c>
      <c r="J237" s="25" t="str">
        <f>IFERROR(_xlfn.XLOOKUP($E237,$O$35:$O$43,$T$35:$T$43)*G237/$P$9,"")</f>
        <v/>
      </c>
      <c r="K237" s="25" t="str">
        <f>IF(E237=$O$43,($D237/50-$T$43*$P$9)/$P$9,"")</f>
        <v/>
      </c>
      <c r="L237" s="25" t="str">
        <f>IFERROR(($D237/50-_xlfn.XLOOKUP($H237,$O$48:$O$62,$T$48:$T$62)*$P$14)/$P$9,"")</f>
        <v/>
      </c>
      <c r="M237" s="14">
        <f t="shared" si="3"/>
        <v>0</v>
      </c>
    </row>
    <row r="238" spans="2:13" x14ac:dyDescent="0.25">
      <c r="B238" s="10" t="str">
        <f>IF('Importér data'!C249="type",'Importér data'!F249,"")</f>
        <v/>
      </c>
      <c r="C238" s="10">
        <f>'Importér data'!H249</f>
        <v>0</v>
      </c>
      <c r="D238" s="32" t="str">
        <f>IF('Importér data'!C249="type",'Importér data'!N249,"")</f>
        <v/>
      </c>
      <c r="E238" s="24"/>
      <c r="F238" s="45"/>
      <c r="G238" s="45"/>
      <c r="H238" s="24"/>
      <c r="I238" s="25" t="str">
        <f>IFERROR(($D238/50-_xlfn.XLOOKUP($E238,$O$35:$O$43,$T$35:$T$43)*F238)/$P$9,"")</f>
        <v/>
      </c>
      <c r="J238" s="25" t="str">
        <f>IFERROR(_xlfn.XLOOKUP($E238,$O$35:$O$43,$T$35:$T$43)*G238/$P$9,"")</f>
        <v/>
      </c>
      <c r="K238" s="25" t="str">
        <f>IF(E238=$O$43,($D238/50-$T$43*$P$9)/$P$9,"")</f>
        <v/>
      </c>
      <c r="L238" s="25" t="str">
        <f>IFERROR(($D238/50-_xlfn.XLOOKUP($H238,$O$48:$O$62,$T$48:$T$62)*$P$14)/$P$9,"")</f>
        <v/>
      </c>
      <c r="M238" s="14">
        <f t="shared" si="3"/>
        <v>0</v>
      </c>
    </row>
    <row r="239" spans="2:13" x14ac:dyDescent="0.25">
      <c r="B239" s="10" t="str">
        <f>IF('Importér data'!C250="type",'Importér data'!F250,"")</f>
        <v/>
      </c>
      <c r="C239" s="10">
        <f>'Importér data'!H250</f>
        <v>0</v>
      </c>
      <c r="D239" s="32" t="str">
        <f>IF('Importér data'!C250="type",'Importér data'!N250,"")</f>
        <v/>
      </c>
      <c r="E239" s="24"/>
      <c r="F239" s="45"/>
      <c r="G239" s="45"/>
      <c r="H239" s="24"/>
      <c r="I239" s="25" t="str">
        <f>IFERROR(($D239/50-_xlfn.XLOOKUP($E239,$O$35:$O$43,$T$35:$T$43)*F239)/$P$9,"")</f>
        <v/>
      </c>
      <c r="J239" s="25" t="str">
        <f>IFERROR(_xlfn.XLOOKUP($E239,$O$35:$O$43,$T$35:$T$43)*G239/$P$9,"")</f>
        <v/>
      </c>
      <c r="K239" s="25" t="str">
        <f>IF(E239=$O$43,($D239/50-$T$43*$P$9)/$P$9,"")</f>
        <v/>
      </c>
      <c r="L239" s="25" t="str">
        <f>IFERROR(($D239/50-_xlfn.XLOOKUP($H239,$O$48:$O$62,$T$48:$T$62)*$P$14)/$P$9,"")</f>
        <v/>
      </c>
      <c r="M239" s="14">
        <f t="shared" si="3"/>
        <v>0</v>
      </c>
    </row>
    <row r="240" spans="2:13" x14ac:dyDescent="0.25">
      <c r="B240" s="10" t="str">
        <f>IF('Importér data'!C251="type",'Importér data'!F251,"")</f>
        <v/>
      </c>
      <c r="C240" s="10">
        <f>'Importér data'!H251</f>
        <v>0</v>
      </c>
      <c r="D240" s="32" t="str">
        <f>IF('Importér data'!C251="type",'Importér data'!N251,"")</f>
        <v/>
      </c>
      <c r="E240" s="24"/>
      <c r="F240" s="45"/>
      <c r="G240" s="45"/>
      <c r="H240" s="24"/>
      <c r="I240" s="25" t="str">
        <f>IFERROR(($D240/50-_xlfn.XLOOKUP($E240,$O$35:$O$43,$T$35:$T$43)*F240)/$P$9,"")</f>
        <v/>
      </c>
      <c r="J240" s="25" t="str">
        <f>IFERROR(_xlfn.XLOOKUP($E240,$O$35:$O$43,$T$35:$T$43)*G240/$P$9,"")</f>
        <v/>
      </c>
      <c r="K240" s="25" t="str">
        <f>IF(E240=$O$43,($D240/50-$T$43*$P$9)/$P$9,"")</f>
        <v/>
      </c>
      <c r="L240" s="25" t="str">
        <f>IFERROR(($D240/50-_xlfn.XLOOKUP($H240,$O$48:$O$62,$T$48:$T$62)*$P$14)/$P$9,"")</f>
        <v/>
      </c>
      <c r="M240" s="14">
        <f t="shared" si="3"/>
        <v>0</v>
      </c>
    </row>
    <row r="241" spans="2:13" x14ac:dyDescent="0.25">
      <c r="B241" s="10" t="str">
        <f>IF('Importér data'!C252="type",'Importér data'!F252,"")</f>
        <v/>
      </c>
      <c r="C241" s="10">
        <f>'Importér data'!H252</f>
        <v>0</v>
      </c>
      <c r="D241" s="32" t="str">
        <f>IF('Importér data'!C252="type",'Importér data'!N252,"")</f>
        <v/>
      </c>
      <c r="E241" s="24"/>
      <c r="F241" s="45"/>
      <c r="G241" s="45"/>
      <c r="H241" s="24"/>
      <c r="I241" s="25" t="str">
        <f>IFERROR(($D241/50-_xlfn.XLOOKUP($E241,$O$35:$O$43,$T$35:$T$43)*F241)/$P$9,"")</f>
        <v/>
      </c>
      <c r="J241" s="25" t="str">
        <f>IFERROR(_xlfn.XLOOKUP($E241,$O$35:$O$43,$T$35:$T$43)*G241/$P$9,"")</f>
        <v/>
      </c>
      <c r="K241" s="25" t="str">
        <f>IF(E241=$O$43,($D241/50-$T$43*$P$9)/$P$9,"")</f>
        <v/>
      </c>
      <c r="L241" s="25" t="str">
        <f>IFERROR(($D241/50-_xlfn.XLOOKUP($H241,$O$48:$O$62,$T$48:$T$62)*$P$14)/$P$9,"")</f>
        <v/>
      </c>
      <c r="M241" s="14">
        <f t="shared" si="3"/>
        <v>0</v>
      </c>
    </row>
    <row r="242" spans="2:13" x14ac:dyDescent="0.25">
      <c r="B242" s="10" t="str">
        <f>IF('Importér data'!C253="type",'Importér data'!F253,"")</f>
        <v/>
      </c>
      <c r="C242" s="10">
        <f>'Importér data'!H253</f>
        <v>0</v>
      </c>
      <c r="D242" s="32" t="str">
        <f>IF('Importér data'!C253="type",'Importér data'!N253,"")</f>
        <v/>
      </c>
      <c r="E242" s="24"/>
      <c r="F242" s="45"/>
      <c r="G242" s="45"/>
      <c r="H242" s="24"/>
      <c r="I242" s="25" t="str">
        <f>IFERROR(($D242/50-_xlfn.XLOOKUP($E242,$O$35:$O$43,$T$35:$T$43)*F242)/$P$9,"")</f>
        <v/>
      </c>
      <c r="J242" s="25" t="str">
        <f>IFERROR(_xlfn.XLOOKUP($E242,$O$35:$O$43,$T$35:$T$43)*G242/$P$9,"")</f>
        <v/>
      </c>
      <c r="K242" s="25" t="str">
        <f>IF(E242=$O$43,($D242/50-$T$43*$P$9)/$P$9,"")</f>
        <v/>
      </c>
      <c r="L242" s="25" t="str">
        <f>IFERROR(($D242/50-_xlfn.XLOOKUP($H242,$O$48:$O$62,$T$48:$T$62)*$P$14)/$P$9,"")</f>
        <v/>
      </c>
      <c r="M242" s="14">
        <f t="shared" si="3"/>
        <v>0</v>
      </c>
    </row>
    <row r="243" spans="2:13" x14ac:dyDescent="0.25">
      <c r="B243" s="10" t="str">
        <f>IF('Importér data'!C254="type",'Importér data'!F254,"")</f>
        <v/>
      </c>
      <c r="C243" s="10">
        <f>'Importér data'!H254</f>
        <v>0</v>
      </c>
      <c r="D243" s="32" t="str">
        <f>IF('Importér data'!C254="type",'Importér data'!N254,"")</f>
        <v/>
      </c>
      <c r="E243" s="24"/>
      <c r="F243" s="45"/>
      <c r="G243" s="45"/>
      <c r="H243" s="24"/>
      <c r="I243" s="25" t="str">
        <f>IFERROR(($D243/50-_xlfn.XLOOKUP($E243,$O$35:$O$43,$T$35:$T$43)*F243)/$P$9,"")</f>
        <v/>
      </c>
      <c r="J243" s="25" t="str">
        <f>IFERROR(_xlfn.XLOOKUP($E243,$O$35:$O$43,$T$35:$T$43)*G243/$P$9,"")</f>
        <v/>
      </c>
      <c r="K243" s="25" t="str">
        <f>IF(E243=$O$43,($D243/50-$T$43*$P$9)/$P$9,"")</f>
        <v/>
      </c>
      <c r="L243" s="25" t="str">
        <f>IFERROR(($D243/50-_xlfn.XLOOKUP($H243,$O$48:$O$62,$T$48:$T$62)*$P$14)/$P$9,"")</f>
        <v/>
      </c>
      <c r="M243" s="14">
        <f t="shared" si="3"/>
        <v>0</v>
      </c>
    </row>
    <row r="244" spans="2:13" x14ac:dyDescent="0.25">
      <c r="B244" s="10" t="str">
        <f>IF('Importér data'!C255="type",'Importér data'!F255,"")</f>
        <v/>
      </c>
      <c r="C244" s="10">
        <f>'Importér data'!H255</f>
        <v>0</v>
      </c>
      <c r="D244" s="32" t="str">
        <f>IF('Importér data'!C255="type",'Importér data'!N255,"")</f>
        <v/>
      </c>
      <c r="E244" s="24"/>
      <c r="F244" s="45"/>
      <c r="G244" s="45"/>
      <c r="H244" s="24"/>
      <c r="I244" s="25" t="str">
        <f>IFERROR(($D244/50-_xlfn.XLOOKUP($E244,$O$35:$O$43,$T$35:$T$43)*F244)/$P$9,"")</f>
        <v/>
      </c>
      <c r="J244" s="25" t="str">
        <f>IFERROR(_xlfn.XLOOKUP($E244,$O$35:$O$43,$T$35:$T$43)*G244/$P$9,"")</f>
        <v/>
      </c>
      <c r="K244" s="25" t="str">
        <f>IF(E244=$O$43,($D244/50-$T$43*$P$9)/$P$9,"")</f>
        <v/>
      </c>
      <c r="L244" s="25" t="str">
        <f>IFERROR(($D244/50-_xlfn.XLOOKUP($H244,$O$48:$O$62,$T$48:$T$62)*$P$14)/$P$9,"")</f>
        <v/>
      </c>
      <c r="M244" s="14">
        <f t="shared" si="3"/>
        <v>0</v>
      </c>
    </row>
    <row r="245" spans="2:13" x14ac:dyDescent="0.25">
      <c r="B245" s="10" t="str">
        <f>IF('Importér data'!C256="type",'Importér data'!F256,"")</f>
        <v/>
      </c>
      <c r="C245" s="10">
        <f>'Importér data'!H256</f>
        <v>0</v>
      </c>
      <c r="D245" s="32" t="str">
        <f>IF('Importér data'!C256="type",'Importér data'!N256,"")</f>
        <v/>
      </c>
      <c r="E245" s="24"/>
      <c r="F245" s="45"/>
      <c r="G245" s="45"/>
      <c r="H245" s="24"/>
      <c r="I245" s="25" t="str">
        <f>IFERROR(($D245/50-_xlfn.XLOOKUP($E245,$O$35:$O$43,$T$35:$T$43)*F245)/$P$9,"")</f>
        <v/>
      </c>
      <c r="J245" s="25" t="str">
        <f>IFERROR(_xlfn.XLOOKUP($E245,$O$35:$O$43,$T$35:$T$43)*G245/$P$9,"")</f>
        <v/>
      </c>
      <c r="K245" s="25" t="str">
        <f>IF(E245=$O$43,($D245/50-$T$43*$P$9)/$P$9,"")</f>
        <v/>
      </c>
      <c r="L245" s="25" t="str">
        <f>IFERROR(($D245/50-_xlfn.XLOOKUP($H245,$O$48:$O$62,$T$48:$T$62)*$P$14)/$P$9,"")</f>
        <v/>
      </c>
      <c r="M245" s="14">
        <f t="shared" si="3"/>
        <v>0</v>
      </c>
    </row>
    <row r="246" spans="2:13" x14ac:dyDescent="0.25">
      <c r="B246" s="10" t="str">
        <f>IF('Importér data'!C257="type",'Importér data'!F257,"")</f>
        <v/>
      </c>
      <c r="C246" s="10">
        <f>'Importér data'!H257</f>
        <v>0</v>
      </c>
      <c r="D246" s="32" t="str">
        <f>IF('Importér data'!C257="type",'Importér data'!N257,"")</f>
        <v/>
      </c>
      <c r="E246" s="24"/>
      <c r="F246" s="45"/>
      <c r="G246" s="45"/>
      <c r="H246" s="24"/>
      <c r="I246" s="25" t="str">
        <f>IFERROR(($D246/50-_xlfn.XLOOKUP($E246,$O$35:$O$43,$T$35:$T$43)*F246)/$P$9,"")</f>
        <v/>
      </c>
      <c r="J246" s="25" t="str">
        <f>IFERROR(_xlfn.XLOOKUP($E246,$O$35:$O$43,$T$35:$T$43)*G246/$P$9,"")</f>
        <v/>
      </c>
      <c r="K246" s="25" t="str">
        <f>IF(E246=$O$43,($D246/50-$T$43*$P$9)/$P$9,"")</f>
        <v/>
      </c>
      <c r="L246" s="25" t="str">
        <f>IFERROR(($D246/50-_xlfn.XLOOKUP($H246,$O$48:$O$62,$T$48:$T$62)*$P$14)/$P$9,"")</f>
        <v/>
      </c>
      <c r="M246" s="14">
        <f t="shared" si="3"/>
        <v>0</v>
      </c>
    </row>
    <row r="247" spans="2:13" x14ac:dyDescent="0.25">
      <c r="B247" s="10" t="str">
        <f>IF('Importér data'!C258="type",'Importér data'!F258,"")</f>
        <v/>
      </c>
      <c r="C247" s="10">
        <f>'Importér data'!H258</f>
        <v>0</v>
      </c>
      <c r="D247" s="32" t="str">
        <f>IF('Importér data'!C258="type",'Importér data'!N258,"")</f>
        <v/>
      </c>
      <c r="E247" s="24"/>
      <c r="F247" s="45"/>
      <c r="G247" s="45"/>
      <c r="H247" s="24"/>
      <c r="I247" s="25" t="str">
        <f>IFERROR(($D247/50-_xlfn.XLOOKUP($E247,$O$35:$O$43,$T$35:$T$43)*F247)/$P$9,"")</f>
        <v/>
      </c>
      <c r="J247" s="25" t="str">
        <f>IFERROR(_xlfn.XLOOKUP($E247,$O$35:$O$43,$T$35:$T$43)*G247/$P$9,"")</f>
        <v/>
      </c>
      <c r="K247" s="25" t="str">
        <f>IF(E247=$O$43,($D247/50-$T$43*$P$9)/$P$9,"")</f>
        <v/>
      </c>
      <c r="L247" s="25" t="str">
        <f>IFERROR(($D247/50-_xlfn.XLOOKUP($H247,$O$48:$O$62,$T$48:$T$62)*$P$14)/$P$9,"")</f>
        <v/>
      </c>
      <c r="M247" s="14">
        <f t="shared" si="3"/>
        <v>0</v>
      </c>
    </row>
    <row r="248" spans="2:13" x14ac:dyDescent="0.25">
      <c r="B248" s="10" t="str">
        <f>IF('Importér data'!C259="type",'Importér data'!F259,"")</f>
        <v/>
      </c>
      <c r="C248" s="10">
        <f>'Importér data'!H259</f>
        <v>0</v>
      </c>
      <c r="D248" s="32" t="str">
        <f>IF('Importér data'!C259="type",'Importér data'!N259,"")</f>
        <v/>
      </c>
      <c r="E248" s="24"/>
      <c r="F248" s="45"/>
      <c r="G248" s="45"/>
      <c r="H248" s="24"/>
      <c r="I248" s="25" t="str">
        <f>IFERROR(($D248/50-_xlfn.XLOOKUP($E248,$O$35:$O$43,$T$35:$T$43)*F248)/$P$9,"")</f>
        <v/>
      </c>
      <c r="J248" s="25" t="str">
        <f>IFERROR(_xlfn.XLOOKUP($E248,$O$35:$O$43,$T$35:$T$43)*G248/$P$9,"")</f>
        <v/>
      </c>
      <c r="K248" s="25" t="str">
        <f>IF(E248=$O$43,($D248/50-$T$43*$P$9)/$P$9,"")</f>
        <v/>
      </c>
      <c r="L248" s="25" t="str">
        <f>IFERROR(($D248/50-_xlfn.XLOOKUP($H248,$O$48:$O$62,$T$48:$T$62)*$P$14)/$P$9,"")</f>
        <v/>
      </c>
      <c r="M248" s="14">
        <f t="shared" si="3"/>
        <v>0</v>
      </c>
    </row>
    <row r="249" spans="2:13" x14ac:dyDescent="0.25">
      <c r="B249" s="10" t="str">
        <f>IF('Importér data'!C260="type",'Importér data'!F260,"")</f>
        <v/>
      </c>
      <c r="C249" s="10">
        <f>'Importér data'!H260</f>
        <v>0</v>
      </c>
      <c r="D249" s="32" t="str">
        <f>IF('Importér data'!C260="type",'Importér data'!N260,"")</f>
        <v/>
      </c>
      <c r="E249" s="24"/>
      <c r="F249" s="45"/>
      <c r="G249" s="45"/>
      <c r="H249" s="24"/>
      <c r="I249" s="25" t="str">
        <f>IFERROR(($D249/50-_xlfn.XLOOKUP($E249,$O$35:$O$43,$T$35:$T$43)*F249)/$P$9,"")</f>
        <v/>
      </c>
      <c r="J249" s="25" t="str">
        <f>IFERROR(_xlfn.XLOOKUP($E249,$O$35:$O$43,$T$35:$T$43)*G249/$P$9,"")</f>
        <v/>
      </c>
      <c r="K249" s="25" t="str">
        <f>IF(E249=$O$43,($D249/50-$T$43*$P$9)/$P$9,"")</f>
        <v/>
      </c>
      <c r="L249" s="25" t="str">
        <f>IFERROR(($D249/50-_xlfn.XLOOKUP($H249,$O$48:$O$62,$T$48:$T$62)*$P$14)/$P$9,"")</f>
        <v/>
      </c>
      <c r="M249" s="14">
        <f t="shared" si="3"/>
        <v>0</v>
      </c>
    </row>
    <row r="250" spans="2:13" x14ac:dyDescent="0.25">
      <c r="B250" s="10" t="str">
        <f>IF('Importér data'!C261="type",'Importér data'!F261,"")</f>
        <v/>
      </c>
      <c r="C250" s="10">
        <f>'Importér data'!H261</f>
        <v>0</v>
      </c>
      <c r="D250" s="32" t="str">
        <f>IF('Importér data'!C261="type",'Importér data'!N261,"")</f>
        <v/>
      </c>
      <c r="E250" s="24"/>
      <c r="F250" s="45"/>
      <c r="G250" s="45"/>
      <c r="H250" s="24"/>
      <c r="I250" s="25" t="str">
        <f>IFERROR(($D250/50-_xlfn.XLOOKUP($E250,$O$35:$O$43,$T$35:$T$43)*F250)/$P$9,"")</f>
        <v/>
      </c>
      <c r="J250" s="25" t="str">
        <f>IFERROR(_xlfn.XLOOKUP($E250,$O$35:$O$43,$T$35:$T$43)*G250/$P$9,"")</f>
        <v/>
      </c>
      <c r="K250" s="25" t="str">
        <f>IF(E250=$O$43,($D250/50-$T$43*$P$9)/$P$9,"")</f>
        <v/>
      </c>
      <c r="L250" s="25" t="str">
        <f>IFERROR(($D250/50-_xlfn.XLOOKUP($H250,$O$48:$O$62,$T$48:$T$62)*$P$14)/$P$9,"")</f>
        <v/>
      </c>
      <c r="M250" s="14">
        <f t="shared" si="3"/>
        <v>0</v>
      </c>
    </row>
    <row r="251" spans="2:13" x14ac:dyDescent="0.25">
      <c r="B251" s="10" t="str">
        <f>IF('Importér data'!C262="type",'Importér data'!F262,"")</f>
        <v/>
      </c>
      <c r="C251" s="10">
        <f>'Importér data'!H262</f>
        <v>0</v>
      </c>
      <c r="D251" s="32" t="str">
        <f>IF('Importér data'!C262="type",'Importér data'!N262,"")</f>
        <v/>
      </c>
      <c r="E251" s="24"/>
      <c r="F251" s="45"/>
      <c r="G251" s="45"/>
      <c r="H251" s="24"/>
      <c r="I251" s="25" t="str">
        <f>IFERROR(($D251/50-_xlfn.XLOOKUP($E251,$O$35:$O$43,$T$35:$T$43)*F251)/$P$9,"")</f>
        <v/>
      </c>
      <c r="J251" s="25" t="str">
        <f>IFERROR(_xlfn.XLOOKUP($E251,$O$35:$O$43,$T$35:$T$43)*G251/$P$9,"")</f>
        <v/>
      </c>
      <c r="K251" s="25" t="str">
        <f>IF(E251=$O$43,($D251/50-$T$43*$P$9)/$P$9,"")</f>
        <v/>
      </c>
      <c r="L251" s="25" t="str">
        <f>IFERROR(($D251/50-_xlfn.XLOOKUP($H251,$O$48:$O$62,$T$48:$T$62)*$P$14)/$P$9,"")</f>
        <v/>
      </c>
      <c r="M251" s="14">
        <f t="shared" si="3"/>
        <v>0</v>
      </c>
    </row>
    <row r="252" spans="2:13" x14ac:dyDescent="0.25">
      <c r="B252" s="10" t="str">
        <f>IF('Importér data'!C263="type",'Importér data'!F263,"")</f>
        <v/>
      </c>
      <c r="C252" s="10">
        <f>'Importér data'!H263</f>
        <v>0</v>
      </c>
      <c r="D252" s="32" t="str">
        <f>IF('Importér data'!C263="type",'Importér data'!N263,"")</f>
        <v/>
      </c>
      <c r="E252" s="24"/>
      <c r="F252" s="45"/>
      <c r="G252" s="45"/>
      <c r="H252" s="24"/>
      <c r="I252" s="25" t="str">
        <f>IFERROR(($D252/50-_xlfn.XLOOKUP($E252,$O$35:$O$43,$T$35:$T$43)*F252)/$P$9,"")</f>
        <v/>
      </c>
      <c r="J252" s="25" t="str">
        <f>IFERROR(_xlfn.XLOOKUP($E252,$O$35:$O$43,$T$35:$T$43)*G252/$P$9,"")</f>
        <v/>
      </c>
      <c r="K252" s="25" t="str">
        <f>IF(E252=$O$43,($D252/50-$T$43*$P$9)/$P$9,"")</f>
        <v/>
      </c>
      <c r="L252" s="25" t="str">
        <f>IFERROR(($D252/50-_xlfn.XLOOKUP($H252,$O$48:$O$62,$T$48:$T$62)*$P$14)/$P$9,"")</f>
        <v/>
      </c>
      <c r="M252" s="14">
        <f t="shared" si="3"/>
        <v>0</v>
      </c>
    </row>
    <row r="253" spans="2:13" x14ac:dyDescent="0.25">
      <c r="B253" s="10" t="str">
        <f>IF('Importér data'!C264="type",'Importér data'!F264,"")</f>
        <v/>
      </c>
      <c r="C253" s="10">
        <f>'Importér data'!H264</f>
        <v>0</v>
      </c>
      <c r="D253" s="32" t="str">
        <f>IF('Importér data'!C264="type",'Importér data'!N264,"")</f>
        <v/>
      </c>
      <c r="E253" s="24"/>
      <c r="F253" s="45"/>
      <c r="G253" s="45"/>
      <c r="H253" s="24"/>
      <c r="I253" s="25" t="str">
        <f>IFERROR(($D253/50-_xlfn.XLOOKUP($E253,$O$35:$O$43,$T$35:$T$43)*F253)/$P$9,"")</f>
        <v/>
      </c>
      <c r="J253" s="25" t="str">
        <f>IFERROR(_xlfn.XLOOKUP($E253,$O$35:$O$43,$T$35:$T$43)*G253/$P$9,"")</f>
        <v/>
      </c>
      <c r="K253" s="25" t="str">
        <f>IF(E253=$O$43,($D253/50-$T$43*$P$9)/$P$9,"")</f>
        <v/>
      </c>
      <c r="L253" s="25" t="str">
        <f>IFERROR(($D253/50-_xlfn.XLOOKUP($H253,$O$48:$O$62,$T$48:$T$62)*$P$14)/$P$9,"")</f>
        <v/>
      </c>
      <c r="M253" s="14">
        <f t="shared" si="3"/>
        <v>0</v>
      </c>
    </row>
    <row r="254" spans="2:13" x14ac:dyDescent="0.25">
      <c r="B254" s="10" t="str">
        <f>IF('Importér data'!C265="type",'Importér data'!F265,"")</f>
        <v/>
      </c>
      <c r="C254" s="10">
        <f>'Importér data'!H265</f>
        <v>0</v>
      </c>
      <c r="D254" s="32" t="str">
        <f>IF('Importér data'!C265="type",'Importér data'!N265,"")</f>
        <v/>
      </c>
      <c r="E254" s="24"/>
      <c r="F254" s="45"/>
      <c r="G254" s="45"/>
      <c r="H254" s="24"/>
      <c r="I254" s="25" t="str">
        <f>IFERROR(($D254/50-_xlfn.XLOOKUP($E254,$O$35:$O$43,$T$35:$T$43)*F254)/$P$9,"")</f>
        <v/>
      </c>
      <c r="J254" s="25" t="str">
        <f>IFERROR(_xlfn.XLOOKUP($E254,$O$35:$O$43,$T$35:$T$43)*G254/$P$9,"")</f>
        <v/>
      </c>
      <c r="K254" s="25" t="str">
        <f>IF(E254=$O$43,($D254/50-$T$43*$P$9)/$P$9,"")</f>
        <v/>
      </c>
      <c r="L254" s="25" t="str">
        <f>IFERROR(($D254/50-_xlfn.XLOOKUP($H254,$O$48:$O$62,$T$48:$T$62)*$P$14)/$P$9,"")</f>
        <v/>
      </c>
      <c r="M254" s="14">
        <f t="shared" si="3"/>
        <v>0</v>
      </c>
    </row>
    <row r="255" spans="2:13" x14ac:dyDescent="0.25">
      <c r="B255" s="10" t="str">
        <f>IF('Importér data'!C266="type",'Importér data'!F266,"")</f>
        <v/>
      </c>
      <c r="C255" s="10">
        <f>'Importér data'!H266</f>
        <v>0</v>
      </c>
      <c r="D255" s="32" t="str">
        <f>IF('Importér data'!C266="type",'Importér data'!N266,"")</f>
        <v/>
      </c>
      <c r="E255" s="24"/>
      <c r="F255" s="45"/>
      <c r="G255" s="45"/>
      <c r="H255" s="24"/>
      <c r="I255" s="25" t="str">
        <f>IFERROR(($D255/50-_xlfn.XLOOKUP($E255,$O$35:$O$43,$T$35:$T$43)*F255)/$P$9,"")</f>
        <v/>
      </c>
      <c r="J255" s="25" t="str">
        <f>IFERROR(_xlfn.XLOOKUP($E255,$O$35:$O$43,$T$35:$T$43)*G255/$P$9,"")</f>
        <v/>
      </c>
      <c r="K255" s="25" t="str">
        <f>IF(E255=$O$43,($D255/50-$T$43*$P$9)/$P$9,"")</f>
        <v/>
      </c>
      <c r="L255" s="25" t="str">
        <f>IFERROR(($D255/50-_xlfn.XLOOKUP($H255,$O$48:$O$62,$T$48:$T$62)*$P$14)/$P$9,"")</f>
        <v/>
      </c>
      <c r="M255" s="14">
        <f t="shared" si="3"/>
        <v>0</v>
      </c>
    </row>
    <row r="256" spans="2:13" x14ac:dyDescent="0.25">
      <c r="B256" s="10" t="str">
        <f>IF('Importér data'!C267="type",'Importér data'!F267,"")</f>
        <v/>
      </c>
      <c r="C256" s="10">
        <f>'Importér data'!H267</f>
        <v>0</v>
      </c>
      <c r="D256" s="32" t="str">
        <f>IF('Importér data'!C267="type",'Importér data'!N267,"")</f>
        <v/>
      </c>
      <c r="E256" s="24"/>
      <c r="F256" s="45"/>
      <c r="G256" s="45"/>
      <c r="H256" s="24"/>
      <c r="I256" s="25" t="str">
        <f>IFERROR(($D256/50-_xlfn.XLOOKUP($E256,$O$35:$O$43,$T$35:$T$43)*F256)/$P$9,"")</f>
        <v/>
      </c>
      <c r="J256" s="25" t="str">
        <f>IFERROR(_xlfn.XLOOKUP($E256,$O$35:$O$43,$T$35:$T$43)*G256/$P$9,"")</f>
        <v/>
      </c>
      <c r="K256" s="25" t="str">
        <f>IF(E256=$O$43,($D256/50-$T$43*$P$9)/$P$9,"")</f>
        <v/>
      </c>
      <c r="L256" s="25" t="str">
        <f>IFERROR(($D256/50-_xlfn.XLOOKUP($H256,$O$48:$O$62,$T$48:$T$62)*$P$14)/$P$9,"")</f>
        <v/>
      </c>
      <c r="M256" s="14">
        <f t="shared" si="3"/>
        <v>0</v>
      </c>
    </row>
    <row r="257" spans="2:13" x14ac:dyDescent="0.25">
      <c r="B257" s="10" t="str">
        <f>IF('Importér data'!C268="type",'Importér data'!F268,"")</f>
        <v/>
      </c>
      <c r="C257" s="10">
        <f>'Importér data'!H268</f>
        <v>0</v>
      </c>
      <c r="D257" s="32" t="str">
        <f>IF('Importér data'!C268="type",'Importér data'!N268,"")</f>
        <v/>
      </c>
      <c r="E257" s="24"/>
      <c r="F257" s="45"/>
      <c r="G257" s="45"/>
      <c r="H257" s="24"/>
      <c r="I257" s="25" t="str">
        <f>IFERROR(($D257/50-_xlfn.XLOOKUP($E257,$O$35:$O$43,$T$35:$T$43)*F257)/$P$9,"")</f>
        <v/>
      </c>
      <c r="J257" s="25" t="str">
        <f>IFERROR(_xlfn.XLOOKUP($E257,$O$35:$O$43,$T$35:$T$43)*G257/$P$9,"")</f>
        <v/>
      </c>
      <c r="K257" s="25" t="str">
        <f>IF(E257=$O$43,($D257/50-$T$43*$P$9)/$P$9,"")</f>
        <v/>
      </c>
      <c r="L257" s="25" t="str">
        <f>IFERROR(($D257/50-_xlfn.XLOOKUP($H257,$O$48:$O$62,$T$48:$T$62)*$P$14)/$P$9,"")</f>
        <v/>
      </c>
      <c r="M257" s="14">
        <f t="shared" si="3"/>
        <v>0</v>
      </c>
    </row>
    <row r="258" spans="2:13" x14ac:dyDescent="0.25">
      <c r="B258" s="10" t="str">
        <f>IF('Importér data'!C269="type",'Importér data'!F269,"")</f>
        <v/>
      </c>
      <c r="C258" s="10">
        <f>'Importér data'!H269</f>
        <v>0</v>
      </c>
      <c r="D258" s="32" t="str">
        <f>IF('Importér data'!C269="type",'Importér data'!N269,"")</f>
        <v/>
      </c>
      <c r="E258" s="24"/>
      <c r="F258" s="45"/>
      <c r="G258" s="45"/>
      <c r="H258" s="24"/>
      <c r="I258" s="25" t="str">
        <f>IFERROR(($D258/50-_xlfn.XLOOKUP($E258,$O$35:$O$43,$T$35:$T$43)*F258)/$P$9,"")</f>
        <v/>
      </c>
      <c r="J258" s="25" t="str">
        <f>IFERROR(_xlfn.XLOOKUP($E258,$O$35:$O$43,$T$35:$T$43)*G258/$P$9,"")</f>
        <v/>
      </c>
      <c r="K258" s="25" t="str">
        <f>IF(E258=$O$43,($D258/50-$T$43*$P$9)/$P$9,"")</f>
        <v/>
      </c>
      <c r="L258" s="25" t="str">
        <f>IFERROR(($D258/50-_xlfn.XLOOKUP($H258,$O$48:$O$62,$T$48:$T$62)*$P$14)/$P$9,"")</f>
        <v/>
      </c>
      <c r="M258" s="14">
        <f t="shared" si="3"/>
        <v>0</v>
      </c>
    </row>
    <row r="259" spans="2:13" x14ac:dyDescent="0.25">
      <c r="B259" s="10" t="str">
        <f>IF('Importér data'!C270="type",'Importér data'!F270,"")</f>
        <v/>
      </c>
      <c r="C259" s="10">
        <f>'Importér data'!H270</f>
        <v>0</v>
      </c>
      <c r="D259" s="32" t="str">
        <f>IF('Importér data'!C270="type",'Importér data'!N270,"")</f>
        <v/>
      </c>
      <c r="E259" s="24"/>
      <c r="F259" s="45"/>
      <c r="G259" s="45"/>
      <c r="H259" s="24"/>
      <c r="I259" s="25" t="str">
        <f>IFERROR(($D259/50-_xlfn.XLOOKUP($E259,$O$35:$O$43,$T$35:$T$43)*F259)/$P$9,"")</f>
        <v/>
      </c>
      <c r="J259" s="25" t="str">
        <f>IFERROR(_xlfn.XLOOKUP($E259,$O$35:$O$43,$T$35:$T$43)*G259/$P$9,"")</f>
        <v/>
      </c>
      <c r="K259" s="25" t="str">
        <f>IF(E259=$O$43,($D259/50-$T$43*$P$9)/$P$9,"")</f>
        <v/>
      </c>
      <c r="L259" s="25" t="str">
        <f>IFERROR(($D259/50-_xlfn.XLOOKUP($H259,$O$48:$O$62,$T$48:$T$62)*$P$14)/$P$9,"")</f>
        <v/>
      </c>
      <c r="M259" s="14">
        <f t="shared" si="3"/>
        <v>0</v>
      </c>
    </row>
    <row r="260" spans="2:13" x14ac:dyDescent="0.25">
      <c r="B260" s="10" t="str">
        <f>IF('Importér data'!C271="type",'Importér data'!F271,"")</f>
        <v/>
      </c>
      <c r="C260" s="10">
        <f>'Importér data'!H271</f>
        <v>0</v>
      </c>
      <c r="D260" s="32" t="str">
        <f>IF('Importér data'!C271="type",'Importér data'!N271,"")</f>
        <v/>
      </c>
      <c r="E260" s="24"/>
      <c r="F260" s="45"/>
      <c r="G260" s="45"/>
      <c r="H260" s="24"/>
      <c r="I260" s="25" t="str">
        <f>IFERROR(($D260/50-_xlfn.XLOOKUP($E260,$O$35:$O$43,$T$35:$T$43)*F260)/$P$9,"")</f>
        <v/>
      </c>
      <c r="J260" s="25" t="str">
        <f>IFERROR(_xlfn.XLOOKUP($E260,$O$35:$O$43,$T$35:$T$43)*G260/$P$9,"")</f>
        <v/>
      </c>
      <c r="K260" s="25" t="str">
        <f>IF(E260=$O$43,($D260/50-$T$43*$P$9)/$P$9,"")</f>
        <v/>
      </c>
      <c r="L260" s="25" t="str">
        <f>IFERROR(($D260/50-_xlfn.XLOOKUP($H260,$O$48:$O$62,$T$48:$T$62)*$P$14)/$P$9,"")</f>
        <v/>
      </c>
      <c r="M260" s="14">
        <f t="shared" si="3"/>
        <v>0</v>
      </c>
    </row>
    <row r="261" spans="2:13" x14ac:dyDescent="0.25">
      <c r="B261" s="10" t="str">
        <f>IF('Importér data'!C272="type",'Importér data'!F272,"")</f>
        <v/>
      </c>
      <c r="C261" s="10">
        <f>'Importér data'!H272</f>
        <v>0</v>
      </c>
      <c r="D261" s="32" t="str">
        <f>IF('Importér data'!C272="type",'Importér data'!N272,"")</f>
        <v/>
      </c>
      <c r="E261" s="24"/>
      <c r="F261" s="45"/>
      <c r="G261" s="45"/>
      <c r="H261" s="24"/>
      <c r="I261" s="25" t="str">
        <f>IFERROR(($D261/50-_xlfn.XLOOKUP($E261,$O$35:$O$43,$T$35:$T$43)*F261)/$P$9,"")</f>
        <v/>
      </c>
      <c r="J261" s="25" t="str">
        <f>IFERROR(_xlfn.XLOOKUP($E261,$O$35:$O$43,$T$35:$T$43)*G261/$P$9,"")</f>
        <v/>
      </c>
      <c r="K261" s="25" t="str">
        <f>IF(E261=$O$43,($D261/50-$T$43*$P$9)/$P$9,"")</f>
        <v/>
      </c>
      <c r="L261" s="25" t="str">
        <f>IFERROR(($D261/50-_xlfn.XLOOKUP($H261,$O$48:$O$62,$T$48:$T$62)*$P$14)/$P$9,"")</f>
        <v/>
      </c>
      <c r="M261" s="14">
        <f t="shared" si="3"/>
        <v>0</v>
      </c>
    </row>
    <row r="262" spans="2:13" x14ac:dyDescent="0.25">
      <c r="B262" s="10" t="str">
        <f>IF('Importér data'!C273="type",'Importér data'!F273,"")</f>
        <v/>
      </c>
      <c r="C262" s="10">
        <f>'Importér data'!H273</f>
        <v>0</v>
      </c>
      <c r="D262" s="32" t="str">
        <f>IF('Importér data'!C273="type",'Importér data'!N273,"")</f>
        <v/>
      </c>
      <c r="E262" s="24"/>
      <c r="F262" s="45"/>
      <c r="G262" s="45"/>
      <c r="H262" s="24"/>
      <c r="I262" s="25" t="str">
        <f>IFERROR(($D262/50-_xlfn.XLOOKUP($E262,$O$35:$O$43,$T$35:$T$43)*F262)/$P$9,"")</f>
        <v/>
      </c>
      <c r="J262" s="25" t="str">
        <f>IFERROR(_xlfn.XLOOKUP($E262,$O$35:$O$43,$T$35:$T$43)*G262/$P$9,"")</f>
        <v/>
      </c>
      <c r="K262" s="25" t="str">
        <f>IF(E262=$O$43,($D262/50-$T$43*$P$9)/$P$9,"")</f>
        <v/>
      </c>
      <c r="L262" s="25" t="str">
        <f>IFERROR(($D262/50-_xlfn.XLOOKUP($H262,$O$48:$O$62,$T$48:$T$62)*$P$14)/$P$9,"")</f>
        <v/>
      </c>
      <c r="M262" s="14">
        <f t="shared" ref="M262:M325" si="4">SUM(I262:L262)</f>
        <v>0</v>
      </c>
    </row>
    <row r="263" spans="2:13" x14ac:dyDescent="0.25">
      <c r="B263" s="10" t="str">
        <f>IF('Importér data'!C274="type",'Importér data'!F274,"")</f>
        <v/>
      </c>
      <c r="C263" s="10">
        <f>'Importér data'!H274</f>
        <v>0</v>
      </c>
      <c r="D263" s="32" t="str">
        <f>IF('Importér data'!C274="type",'Importér data'!N274,"")</f>
        <v/>
      </c>
      <c r="E263" s="24"/>
      <c r="F263" s="45"/>
      <c r="G263" s="45"/>
      <c r="H263" s="24"/>
      <c r="I263" s="25" t="str">
        <f>IFERROR(($D263/50-_xlfn.XLOOKUP($E263,$O$35:$O$43,$T$35:$T$43)*F263)/$P$9,"")</f>
        <v/>
      </c>
      <c r="J263" s="25" t="str">
        <f>IFERROR(_xlfn.XLOOKUP($E263,$O$35:$O$43,$T$35:$T$43)*G263/$P$9,"")</f>
        <v/>
      </c>
      <c r="K263" s="25" t="str">
        <f>IF(E263=$O$43,($D263/50-$T$43*$P$9)/$P$9,"")</f>
        <v/>
      </c>
      <c r="L263" s="25" t="str">
        <f>IFERROR(($D263/50-_xlfn.XLOOKUP($H263,$O$48:$O$62,$T$48:$T$62)*$P$14)/$P$9,"")</f>
        <v/>
      </c>
      <c r="M263" s="14">
        <f t="shared" si="4"/>
        <v>0</v>
      </c>
    </row>
    <row r="264" spans="2:13" x14ac:dyDescent="0.25">
      <c r="B264" s="10" t="str">
        <f>IF('Importér data'!C275="type",'Importér data'!F275,"")</f>
        <v/>
      </c>
      <c r="C264" s="10">
        <f>'Importér data'!H275</f>
        <v>0</v>
      </c>
      <c r="D264" s="32" t="str">
        <f>IF('Importér data'!C275="type",'Importér data'!N275,"")</f>
        <v/>
      </c>
      <c r="E264" s="24"/>
      <c r="F264" s="45"/>
      <c r="G264" s="45"/>
      <c r="H264" s="24"/>
      <c r="I264" s="25" t="str">
        <f>IFERROR(($D264/50-_xlfn.XLOOKUP($E264,$O$35:$O$43,$T$35:$T$43)*F264)/$P$9,"")</f>
        <v/>
      </c>
      <c r="J264" s="25" t="str">
        <f>IFERROR(_xlfn.XLOOKUP($E264,$O$35:$O$43,$T$35:$T$43)*G264/$P$9,"")</f>
        <v/>
      </c>
      <c r="K264" s="25" t="str">
        <f>IF(E264=$O$43,($D264/50-$T$43*$P$9)/$P$9,"")</f>
        <v/>
      </c>
      <c r="L264" s="25" t="str">
        <f>IFERROR(($D264/50-_xlfn.XLOOKUP($H264,$O$48:$O$62,$T$48:$T$62)*$P$14)/$P$9,"")</f>
        <v/>
      </c>
      <c r="M264" s="14">
        <f t="shared" si="4"/>
        <v>0</v>
      </c>
    </row>
    <row r="265" spans="2:13" x14ac:dyDescent="0.25">
      <c r="B265" s="10" t="str">
        <f>IF('Importér data'!C276="type",'Importér data'!F276,"")</f>
        <v/>
      </c>
      <c r="C265" s="10">
        <f>'Importér data'!H276</f>
        <v>0</v>
      </c>
      <c r="D265" s="32" t="str">
        <f>IF('Importér data'!C276="type",'Importér data'!N276,"")</f>
        <v/>
      </c>
      <c r="E265" s="24"/>
      <c r="F265" s="45"/>
      <c r="G265" s="45"/>
      <c r="H265" s="24"/>
      <c r="I265" s="25" t="str">
        <f>IFERROR(($D265/50-_xlfn.XLOOKUP($E265,$O$35:$O$43,$T$35:$T$43)*F265)/$P$9,"")</f>
        <v/>
      </c>
      <c r="J265" s="25" t="str">
        <f>IFERROR(_xlfn.XLOOKUP($E265,$O$35:$O$43,$T$35:$T$43)*G265/$P$9,"")</f>
        <v/>
      </c>
      <c r="K265" s="25" t="str">
        <f>IF(E265=$O$43,($D265/50-$T$43*$P$9)/$P$9,"")</f>
        <v/>
      </c>
      <c r="L265" s="25" t="str">
        <f>IFERROR(($D265/50-_xlfn.XLOOKUP($H265,$O$48:$O$62,$T$48:$T$62)*$P$14)/$P$9,"")</f>
        <v/>
      </c>
      <c r="M265" s="14">
        <f t="shared" si="4"/>
        <v>0</v>
      </c>
    </row>
    <row r="266" spans="2:13" x14ac:dyDescent="0.25">
      <c r="B266" s="10" t="str">
        <f>IF('Importér data'!C277="type",'Importér data'!F277,"")</f>
        <v/>
      </c>
      <c r="C266" s="10">
        <f>'Importér data'!H277</f>
        <v>0</v>
      </c>
      <c r="D266" s="32" t="str">
        <f>IF('Importér data'!C277="type",'Importér data'!N277,"")</f>
        <v/>
      </c>
      <c r="E266" s="24"/>
      <c r="F266" s="45"/>
      <c r="G266" s="45"/>
      <c r="H266" s="24"/>
      <c r="I266" s="25" t="str">
        <f>IFERROR(($D266/50-_xlfn.XLOOKUP($E266,$O$35:$O$43,$T$35:$T$43)*F266)/$P$9,"")</f>
        <v/>
      </c>
      <c r="J266" s="25" t="str">
        <f>IFERROR(_xlfn.XLOOKUP($E266,$O$35:$O$43,$T$35:$T$43)*G266/$P$9,"")</f>
        <v/>
      </c>
      <c r="K266" s="25" t="str">
        <f>IF(E266=$O$43,($D266/50-$T$43*$P$9)/$P$9,"")</f>
        <v/>
      </c>
      <c r="L266" s="25" t="str">
        <f>IFERROR(($D266/50-_xlfn.XLOOKUP($H266,$O$48:$O$62,$T$48:$T$62)*$P$14)/$P$9,"")</f>
        <v/>
      </c>
      <c r="M266" s="14">
        <f t="shared" si="4"/>
        <v>0</v>
      </c>
    </row>
    <row r="267" spans="2:13" x14ac:dyDescent="0.25">
      <c r="B267" s="10" t="str">
        <f>IF('Importér data'!C278="type",'Importér data'!F278,"")</f>
        <v/>
      </c>
      <c r="C267" s="10">
        <f>'Importér data'!H278</f>
        <v>0</v>
      </c>
      <c r="D267" s="32" t="str">
        <f>IF('Importér data'!C278="type",'Importér data'!N278,"")</f>
        <v/>
      </c>
      <c r="E267" s="24"/>
      <c r="F267" s="45"/>
      <c r="G267" s="45"/>
      <c r="H267" s="24"/>
      <c r="I267" s="25" t="str">
        <f>IFERROR(($D267/50-_xlfn.XLOOKUP($E267,$O$35:$O$43,$T$35:$T$43)*F267)/$P$9,"")</f>
        <v/>
      </c>
      <c r="J267" s="25" t="str">
        <f>IFERROR(_xlfn.XLOOKUP($E267,$O$35:$O$43,$T$35:$T$43)*G267/$P$9,"")</f>
        <v/>
      </c>
      <c r="K267" s="25" t="str">
        <f>IF(E267=$O$43,($D267/50-$T$43*$P$9)/$P$9,"")</f>
        <v/>
      </c>
      <c r="L267" s="25" t="str">
        <f>IFERROR(($D267/50-_xlfn.XLOOKUP($H267,$O$48:$O$62,$T$48:$T$62)*$P$14)/$P$9,"")</f>
        <v/>
      </c>
      <c r="M267" s="14">
        <f t="shared" si="4"/>
        <v>0</v>
      </c>
    </row>
    <row r="268" spans="2:13" x14ac:dyDescent="0.25">
      <c r="B268" s="10" t="str">
        <f>IF('Importér data'!C279="type",'Importér data'!F279,"")</f>
        <v/>
      </c>
      <c r="C268" s="10">
        <f>'Importér data'!H279</f>
        <v>0</v>
      </c>
      <c r="D268" s="32" t="str">
        <f>IF('Importér data'!C279="type",'Importér data'!N279,"")</f>
        <v/>
      </c>
      <c r="E268" s="24"/>
      <c r="F268" s="45"/>
      <c r="G268" s="45"/>
      <c r="H268" s="24"/>
      <c r="I268" s="25" t="str">
        <f>IFERROR(($D268/50-_xlfn.XLOOKUP($E268,$O$35:$O$43,$T$35:$T$43)*F268)/$P$9,"")</f>
        <v/>
      </c>
      <c r="J268" s="25" t="str">
        <f>IFERROR(_xlfn.XLOOKUP($E268,$O$35:$O$43,$T$35:$T$43)*G268/$P$9,"")</f>
        <v/>
      </c>
      <c r="K268" s="25" t="str">
        <f>IF(E268=$O$43,($D268/50-$T$43*$P$9)/$P$9,"")</f>
        <v/>
      </c>
      <c r="L268" s="25" t="str">
        <f>IFERROR(($D268/50-_xlfn.XLOOKUP($H268,$O$48:$O$62,$T$48:$T$62)*$P$14)/$P$9,"")</f>
        <v/>
      </c>
      <c r="M268" s="14">
        <f t="shared" si="4"/>
        <v>0</v>
      </c>
    </row>
    <row r="269" spans="2:13" x14ac:dyDescent="0.25">
      <c r="B269" s="10" t="str">
        <f>IF('Importér data'!C280="type",'Importér data'!F280,"")</f>
        <v/>
      </c>
      <c r="C269" s="10">
        <f>'Importér data'!H280</f>
        <v>0</v>
      </c>
      <c r="D269" s="32" t="str">
        <f>IF('Importér data'!C280="type",'Importér data'!N280,"")</f>
        <v/>
      </c>
      <c r="E269" s="24"/>
      <c r="F269" s="45"/>
      <c r="G269" s="45"/>
      <c r="H269" s="24"/>
      <c r="I269" s="25" t="str">
        <f>IFERROR(($D269/50-_xlfn.XLOOKUP($E269,$O$35:$O$43,$T$35:$T$43)*F269)/$P$9,"")</f>
        <v/>
      </c>
      <c r="J269" s="25" t="str">
        <f>IFERROR(_xlfn.XLOOKUP($E269,$O$35:$O$43,$T$35:$T$43)*G269/$P$9,"")</f>
        <v/>
      </c>
      <c r="K269" s="25" t="str">
        <f>IF(E269=$O$43,($D269/50-$T$43*$P$9)/$P$9,"")</f>
        <v/>
      </c>
      <c r="L269" s="25" t="str">
        <f>IFERROR(($D269/50-_xlfn.XLOOKUP($H269,$O$48:$O$62,$T$48:$T$62)*$P$14)/$P$9,"")</f>
        <v/>
      </c>
      <c r="M269" s="14">
        <f t="shared" si="4"/>
        <v>0</v>
      </c>
    </row>
    <row r="270" spans="2:13" x14ac:dyDescent="0.25">
      <c r="B270" s="10" t="str">
        <f>IF('Importér data'!C281="type",'Importér data'!F281,"")</f>
        <v/>
      </c>
      <c r="C270" s="10">
        <f>'Importér data'!H281</f>
        <v>0</v>
      </c>
      <c r="D270" s="32" t="str">
        <f>IF('Importér data'!C281="type",'Importér data'!N281,"")</f>
        <v/>
      </c>
      <c r="E270" s="24"/>
      <c r="F270" s="45"/>
      <c r="G270" s="45"/>
      <c r="H270" s="24"/>
      <c r="I270" s="25" t="str">
        <f>IFERROR(($D270/50-_xlfn.XLOOKUP($E270,$O$35:$O$43,$T$35:$T$43)*F270)/$P$9,"")</f>
        <v/>
      </c>
      <c r="J270" s="25" t="str">
        <f>IFERROR(_xlfn.XLOOKUP($E270,$O$35:$O$43,$T$35:$T$43)*G270/$P$9,"")</f>
        <v/>
      </c>
      <c r="K270" s="25" t="str">
        <f>IF(E270=$O$43,($D270/50-$T$43*$P$9)/$P$9,"")</f>
        <v/>
      </c>
      <c r="L270" s="25" t="str">
        <f>IFERROR(($D270/50-_xlfn.XLOOKUP($H270,$O$48:$O$62,$T$48:$T$62)*$P$14)/$P$9,"")</f>
        <v/>
      </c>
      <c r="M270" s="14">
        <f t="shared" si="4"/>
        <v>0</v>
      </c>
    </row>
    <row r="271" spans="2:13" x14ac:dyDescent="0.25">
      <c r="B271" s="10" t="str">
        <f>IF('Importér data'!C282="type",'Importér data'!F282,"")</f>
        <v/>
      </c>
      <c r="C271" s="10">
        <f>'Importér data'!H282</f>
        <v>0</v>
      </c>
      <c r="D271" s="32" t="str">
        <f>IF('Importér data'!C282="type",'Importér data'!N282,"")</f>
        <v/>
      </c>
      <c r="E271" s="24"/>
      <c r="F271" s="45"/>
      <c r="G271" s="45"/>
      <c r="H271" s="24"/>
      <c r="I271" s="25" t="str">
        <f>IFERROR(($D271/50-_xlfn.XLOOKUP($E271,$O$35:$O$43,$T$35:$T$43)*F271)/$P$9,"")</f>
        <v/>
      </c>
      <c r="J271" s="25" t="str">
        <f>IFERROR(_xlfn.XLOOKUP($E271,$O$35:$O$43,$T$35:$T$43)*G271/$P$9,"")</f>
        <v/>
      </c>
      <c r="K271" s="25" t="str">
        <f>IF(E271=$O$43,($D271/50-$T$43*$P$9)/$P$9,"")</f>
        <v/>
      </c>
      <c r="L271" s="25" t="str">
        <f>IFERROR(($D271/50-_xlfn.XLOOKUP($H271,$O$48:$O$62,$T$48:$T$62)*$P$14)/$P$9,"")</f>
        <v/>
      </c>
      <c r="M271" s="14">
        <f t="shared" si="4"/>
        <v>0</v>
      </c>
    </row>
    <row r="272" spans="2:13" x14ac:dyDescent="0.25">
      <c r="B272" s="10" t="str">
        <f>IF('Importér data'!C283="type",'Importér data'!F283,"")</f>
        <v/>
      </c>
      <c r="C272" s="10">
        <f>'Importér data'!H283</f>
        <v>0</v>
      </c>
      <c r="D272" s="32" t="str">
        <f>IF('Importér data'!C283="type",'Importér data'!N283,"")</f>
        <v/>
      </c>
      <c r="E272" s="24"/>
      <c r="F272" s="45"/>
      <c r="G272" s="45"/>
      <c r="H272" s="24"/>
      <c r="I272" s="25" t="str">
        <f>IFERROR(($D272/50-_xlfn.XLOOKUP($E272,$O$35:$O$43,$T$35:$T$43)*F272)/$P$9,"")</f>
        <v/>
      </c>
      <c r="J272" s="25" t="str">
        <f>IFERROR(_xlfn.XLOOKUP($E272,$O$35:$O$43,$T$35:$T$43)*G272/$P$9,"")</f>
        <v/>
      </c>
      <c r="K272" s="25" t="str">
        <f>IF(E272=$O$43,($D272/50-$T$43*$P$9)/$P$9,"")</f>
        <v/>
      </c>
      <c r="L272" s="25" t="str">
        <f>IFERROR(($D272/50-_xlfn.XLOOKUP($H272,$O$48:$O$62,$T$48:$T$62)*$P$14)/$P$9,"")</f>
        <v/>
      </c>
      <c r="M272" s="14">
        <f t="shared" si="4"/>
        <v>0</v>
      </c>
    </row>
    <row r="273" spans="2:13" x14ac:dyDescent="0.25">
      <c r="B273" s="10" t="str">
        <f>IF('Importér data'!C284="type",'Importér data'!F284,"")</f>
        <v/>
      </c>
      <c r="C273" s="10">
        <f>'Importér data'!H284</f>
        <v>0</v>
      </c>
      <c r="D273" s="32" t="str">
        <f>IF('Importér data'!C284="type",'Importér data'!N284,"")</f>
        <v/>
      </c>
      <c r="E273" s="24"/>
      <c r="F273" s="45"/>
      <c r="G273" s="45"/>
      <c r="H273" s="24"/>
      <c r="I273" s="25" t="str">
        <f>IFERROR(($D273/50-_xlfn.XLOOKUP($E273,$O$35:$O$43,$T$35:$T$43)*F273)/$P$9,"")</f>
        <v/>
      </c>
      <c r="J273" s="25" t="str">
        <f>IFERROR(_xlfn.XLOOKUP($E273,$O$35:$O$43,$T$35:$T$43)*G273/$P$9,"")</f>
        <v/>
      </c>
      <c r="K273" s="25" t="str">
        <f>IF(E273=$O$43,($D273/50-$T$43*$P$9)/$P$9,"")</f>
        <v/>
      </c>
      <c r="L273" s="25" t="str">
        <f>IFERROR(($D273/50-_xlfn.XLOOKUP($H273,$O$48:$O$62,$T$48:$T$62)*$P$14)/$P$9,"")</f>
        <v/>
      </c>
      <c r="M273" s="14">
        <f t="shared" si="4"/>
        <v>0</v>
      </c>
    </row>
    <row r="274" spans="2:13" x14ac:dyDescent="0.25">
      <c r="B274" s="10" t="str">
        <f>IF('Importér data'!C285="type",'Importér data'!F285,"")</f>
        <v/>
      </c>
      <c r="C274" s="10">
        <f>'Importér data'!H285</f>
        <v>0</v>
      </c>
      <c r="D274" s="32" t="str">
        <f>IF('Importér data'!C285="type",'Importér data'!N285,"")</f>
        <v/>
      </c>
      <c r="E274" s="24"/>
      <c r="F274" s="45"/>
      <c r="G274" s="45"/>
      <c r="H274" s="24"/>
      <c r="I274" s="25" t="str">
        <f>IFERROR(($D274/50-_xlfn.XLOOKUP($E274,$O$35:$O$43,$T$35:$T$43)*F274)/$P$9,"")</f>
        <v/>
      </c>
      <c r="J274" s="25" t="str">
        <f>IFERROR(_xlfn.XLOOKUP($E274,$O$35:$O$43,$T$35:$T$43)*G274/$P$9,"")</f>
        <v/>
      </c>
      <c r="K274" s="25" t="str">
        <f>IF(E274=$O$43,($D274/50-$T$43*$P$9)/$P$9,"")</f>
        <v/>
      </c>
      <c r="L274" s="25" t="str">
        <f>IFERROR(($D274/50-_xlfn.XLOOKUP($H274,$O$48:$O$62,$T$48:$T$62)*$P$14)/$P$9,"")</f>
        <v/>
      </c>
      <c r="M274" s="14">
        <f t="shared" si="4"/>
        <v>0</v>
      </c>
    </row>
    <row r="275" spans="2:13" x14ac:dyDescent="0.25">
      <c r="B275" s="10" t="str">
        <f>IF('Importér data'!C286="type",'Importér data'!F286,"")</f>
        <v/>
      </c>
      <c r="C275" s="10">
        <f>'Importér data'!H286</f>
        <v>0</v>
      </c>
      <c r="D275" s="32" t="str">
        <f>IF('Importér data'!C286="type",'Importér data'!N286,"")</f>
        <v/>
      </c>
      <c r="E275" s="24"/>
      <c r="F275" s="45"/>
      <c r="G275" s="45"/>
      <c r="H275" s="24"/>
      <c r="I275" s="25" t="str">
        <f>IFERROR(($D275/50-_xlfn.XLOOKUP($E275,$O$35:$O$43,$T$35:$T$43)*F275)/$P$9,"")</f>
        <v/>
      </c>
      <c r="J275" s="25" t="str">
        <f>IFERROR(_xlfn.XLOOKUP($E275,$O$35:$O$43,$T$35:$T$43)*G275/$P$9,"")</f>
        <v/>
      </c>
      <c r="K275" s="25" t="str">
        <f>IF(E275=$O$43,($D275/50-$T$43*$P$9)/$P$9,"")</f>
        <v/>
      </c>
      <c r="L275" s="25" t="str">
        <f>IFERROR(($D275/50-_xlfn.XLOOKUP($H275,$O$48:$O$62,$T$48:$T$62)*$P$14)/$P$9,"")</f>
        <v/>
      </c>
      <c r="M275" s="14">
        <f t="shared" si="4"/>
        <v>0</v>
      </c>
    </row>
    <row r="276" spans="2:13" x14ac:dyDescent="0.25">
      <c r="B276" s="10" t="str">
        <f>IF('Importér data'!C287="type",'Importér data'!F287,"")</f>
        <v/>
      </c>
      <c r="C276" s="10">
        <f>'Importér data'!H287</f>
        <v>0</v>
      </c>
      <c r="D276" s="32" t="str">
        <f>IF('Importér data'!C287="type",'Importér data'!N287,"")</f>
        <v/>
      </c>
      <c r="E276" s="24"/>
      <c r="F276" s="45"/>
      <c r="G276" s="45"/>
      <c r="H276" s="24"/>
      <c r="I276" s="25" t="str">
        <f>IFERROR(($D276/50-_xlfn.XLOOKUP($E276,$O$35:$O$43,$T$35:$T$43)*F276)/$P$9,"")</f>
        <v/>
      </c>
      <c r="J276" s="25" t="str">
        <f>IFERROR(_xlfn.XLOOKUP($E276,$O$35:$O$43,$T$35:$T$43)*G276/$P$9,"")</f>
        <v/>
      </c>
      <c r="K276" s="25" t="str">
        <f>IF(E276=$O$43,($D276/50-$T$43*$P$9)/$P$9,"")</f>
        <v/>
      </c>
      <c r="L276" s="25" t="str">
        <f>IFERROR(($D276/50-_xlfn.XLOOKUP($H276,$O$48:$O$62,$T$48:$T$62)*$P$14)/$P$9,"")</f>
        <v/>
      </c>
      <c r="M276" s="14">
        <f t="shared" si="4"/>
        <v>0</v>
      </c>
    </row>
    <row r="277" spans="2:13" x14ac:dyDescent="0.25">
      <c r="B277" s="10" t="str">
        <f>IF('Importér data'!C288="type",'Importér data'!F288,"")</f>
        <v/>
      </c>
      <c r="C277" s="10">
        <f>'Importér data'!H288</f>
        <v>0</v>
      </c>
      <c r="D277" s="32" t="str">
        <f>IF('Importér data'!C288="type",'Importér data'!N288,"")</f>
        <v/>
      </c>
      <c r="E277" s="24"/>
      <c r="F277" s="45"/>
      <c r="G277" s="45"/>
      <c r="H277" s="24"/>
      <c r="I277" s="25" t="str">
        <f>IFERROR(($D277/50-_xlfn.XLOOKUP($E277,$O$35:$O$43,$T$35:$T$43)*F277)/$P$9,"")</f>
        <v/>
      </c>
      <c r="J277" s="25" t="str">
        <f>IFERROR(_xlfn.XLOOKUP($E277,$O$35:$O$43,$T$35:$T$43)*G277/$P$9,"")</f>
        <v/>
      </c>
      <c r="K277" s="25" t="str">
        <f>IF(E277=$O$43,($D277/50-$T$43*$P$9)/$P$9,"")</f>
        <v/>
      </c>
      <c r="L277" s="25" t="str">
        <f>IFERROR(($D277/50-_xlfn.XLOOKUP($H277,$O$48:$O$62,$T$48:$T$62)*$P$14)/$P$9,"")</f>
        <v/>
      </c>
      <c r="M277" s="14">
        <f t="shared" si="4"/>
        <v>0</v>
      </c>
    </row>
    <row r="278" spans="2:13" x14ac:dyDescent="0.25">
      <c r="B278" s="10" t="str">
        <f>IF('Importér data'!C289="type",'Importér data'!F289,"")</f>
        <v/>
      </c>
      <c r="C278" s="10">
        <f>'Importér data'!H289</f>
        <v>0</v>
      </c>
      <c r="D278" s="32" t="str">
        <f>IF('Importér data'!C289="type",'Importér data'!N289,"")</f>
        <v/>
      </c>
      <c r="E278" s="24"/>
      <c r="F278" s="45"/>
      <c r="G278" s="45"/>
      <c r="H278" s="24"/>
      <c r="I278" s="25" t="str">
        <f>IFERROR(($D278/50-_xlfn.XLOOKUP($E278,$O$35:$O$43,$T$35:$T$43)*F278)/$P$9,"")</f>
        <v/>
      </c>
      <c r="J278" s="25" t="str">
        <f>IFERROR(_xlfn.XLOOKUP($E278,$O$35:$O$43,$T$35:$T$43)*G278/$P$9,"")</f>
        <v/>
      </c>
      <c r="K278" s="25" t="str">
        <f>IF(E278=$O$43,($D278/50-$T$43*$P$9)/$P$9,"")</f>
        <v/>
      </c>
      <c r="L278" s="25" t="str">
        <f>IFERROR(($D278/50-_xlfn.XLOOKUP($H278,$O$48:$O$62,$T$48:$T$62)*$P$14)/$P$9,"")</f>
        <v/>
      </c>
      <c r="M278" s="14">
        <f t="shared" si="4"/>
        <v>0</v>
      </c>
    </row>
    <row r="279" spans="2:13" x14ac:dyDescent="0.25">
      <c r="B279" s="10" t="str">
        <f>IF('Importér data'!C290="type",'Importér data'!F290,"")</f>
        <v/>
      </c>
      <c r="C279" s="10">
        <f>'Importér data'!H290</f>
        <v>0</v>
      </c>
      <c r="D279" s="32" t="str">
        <f>IF('Importér data'!C290="type",'Importér data'!N290,"")</f>
        <v/>
      </c>
      <c r="E279" s="24"/>
      <c r="F279" s="45"/>
      <c r="G279" s="45"/>
      <c r="H279" s="24"/>
      <c r="I279" s="25" t="str">
        <f>IFERROR(($D279/50-_xlfn.XLOOKUP($E279,$O$35:$O$43,$T$35:$T$43)*F279)/$P$9,"")</f>
        <v/>
      </c>
      <c r="J279" s="25" t="str">
        <f>IFERROR(_xlfn.XLOOKUP($E279,$O$35:$O$43,$T$35:$T$43)*G279/$P$9,"")</f>
        <v/>
      </c>
      <c r="K279" s="25" t="str">
        <f>IF(E279=$O$43,($D279/50-$T$43*$P$9)/$P$9,"")</f>
        <v/>
      </c>
      <c r="L279" s="25" t="str">
        <f>IFERROR(($D279/50-_xlfn.XLOOKUP($H279,$O$48:$O$62,$T$48:$T$62)*$P$14)/$P$9,"")</f>
        <v/>
      </c>
      <c r="M279" s="14">
        <f t="shared" si="4"/>
        <v>0</v>
      </c>
    </row>
    <row r="280" spans="2:13" x14ac:dyDescent="0.25">
      <c r="B280" s="10" t="str">
        <f>IF('Importér data'!C291="type",'Importér data'!F291,"")</f>
        <v/>
      </c>
      <c r="C280" s="10">
        <f>'Importér data'!H291</f>
        <v>0</v>
      </c>
      <c r="D280" s="32" t="str">
        <f>IF('Importér data'!C291="type",'Importér data'!N291,"")</f>
        <v/>
      </c>
      <c r="E280" s="24"/>
      <c r="F280" s="45"/>
      <c r="G280" s="45"/>
      <c r="H280" s="24"/>
      <c r="I280" s="25" t="str">
        <f>IFERROR(($D280/50-_xlfn.XLOOKUP($E280,$O$35:$O$43,$T$35:$T$43)*F280)/$P$9,"")</f>
        <v/>
      </c>
      <c r="J280" s="25" t="str">
        <f>IFERROR(_xlfn.XLOOKUP($E280,$O$35:$O$43,$T$35:$T$43)*G280/$P$9,"")</f>
        <v/>
      </c>
      <c r="K280" s="25" t="str">
        <f>IF(E280=$O$43,($D280/50-$T$43*$P$9)/$P$9,"")</f>
        <v/>
      </c>
      <c r="L280" s="25" t="str">
        <f>IFERROR(($D280/50-_xlfn.XLOOKUP($H280,$O$48:$O$62,$T$48:$T$62)*$P$14)/$P$9,"")</f>
        <v/>
      </c>
      <c r="M280" s="14">
        <f t="shared" si="4"/>
        <v>0</v>
      </c>
    </row>
    <row r="281" spans="2:13" x14ac:dyDescent="0.25">
      <c r="B281" s="10" t="str">
        <f>IF('Importér data'!C292="type",'Importér data'!F292,"")</f>
        <v/>
      </c>
      <c r="C281" s="10">
        <f>'Importér data'!H292</f>
        <v>0</v>
      </c>
      <c r="D281" s="32" t="str">
        <f>IF('Importér data'!C292="type",'Importér data'!N292,"")</f>
        <v/>
      </c>
      <c r="E281" s="24"/>
      <c r="F281" s="45"/>
      <c r="G281" s="45"/>
      <c r="H281" s="24"/>
      <c r="I281" s="25" t="str">
        <f>IFERROR(($D281/50-_xlfn.XLOOKUP($E281,$O$35:$O$43,$T$35:$T$43)*F281)/$P$9,"")</f>
        <v/>
      </c>
      <c r="J281" s="25" t="str">
        <f>IFERROR(_xlfn.XLOOKUP($E281,$O$35:$O$43,$T$35:$T$43)*G281/$P$9,"")</f>
        <v/>
      </c>
      <c r="K281" s="25" t="str">
        <f>IF(E281=$O$43,($D281/50-$T$43*$P$9)/$P$9,"")</f>
        <v/>
      </c>
      <c r="L281" s="25" t="str">
        <f>IFERROR(($D281/50-_xlfn.XLOOKUP($H281,$O$48:$O$62,$T$48:$T$62)*$P$14)/$P$9,"")</f>
        <v/>
      </c>
      <c r="M281" s="14">
        <f t="shared" si="4"/>
        <v>0</v>
      </c>
    </row>
    <row r="282" spans="2:13" x14ac:dyDescent="0.25">
      <c r="B282" s="10" t="str">
        <f>IF('Importér data'!C293="type",'Importér data'!F293,"")</f>
        <v/>
      </c>
      <c r="C282" s="10">
        <f>'Importér data'!H293</f>
        <v>0</v>
      </c>
      <c r="D282" s="32" t="str">
        <f>IF('Importér data'!C293="type",'Importér data'!N293,"")</f>
        <v/>
      </c>
      <c r="E282" s="24"/>
      <c r="F282" s="45"/>
      <c r="G282" s="45"/>
      <c r="H282" s="24"/>
      <c r="I282" s="25" t="str">
        <f>IFERROR(($D282/50-_xlfn.XLOOKUP($E282,$O$35:$O$43,$T$35:$T$43)*F282)/$P$9,"")</f>
        <v/>
      </c>
      <c r="J282" s="25" t="str">
        <f>IFERROR(_xlfn.XLOOKUP($E282,$O$35:$O$43,$T$35:$T$43)*G282/$P$9,"")</f>
        <v/>
      </c>
      <c r="K282" s="25" t="str">
        <f>IF(E282=$O$43,($D282/50-$T$43*$P$9)/$P$9,"")</f>
        <v/>
      </c>
      <c r="L282" s="25" t="str">
        <f>IFERROR(($D282/50-_xlfn.XLOOKUP($H282,$O$48:$O$62,$T$48:$T$62)*$P$14)/$P$9,"")</f>
        <v/>
      </c>
      <c r="M282" s="14">
        <f t="shared" si="4"/>
        <v>0</v>
      </c>
    </row>
    <row r="283" spans="2:13" x14ac:dyDescent="0.25">
      <c r="B283" s="10" t="str">
        <f>IF('Importér data'!C294="type",'Importér data'!F294,"")</f>
        <v/>
      </c>
      <c r="C283" s="10">
        <f>'Importér data'!H294</f>
        <v>0</v>
      </c>
      <c r="D283" s="32" t="str">
        <f>IF('Importér data'!C294="type",'Importér data'!N294,"")</f>
        <v/>
      </c>
      <c r="E283" s="24"/>
      <c r="F283" s="45"/>
      <c r="G283" s="45"/>
      <c r="H283" s="24"/>
      <c r="I283" s="25" t="str">
        <f>IFERROR(($D283/50-_xlfn.XLOOKUP($E283,$O$35:$O$43,$T$35:$T$43)*F283)/$P$9,"")</f>
        <v/>
      </c>
      <c r="J283" s="25" t="str">
        <f>IFERROR(_xlfn.XLOOKUP($E283,$O$35:$O$43,$T$35:$T$43)*G283/$P$9,"")</f>
        <v/>
      </c>
      <c r="K283" s="25" t="str">
        <f>IF(E283=$O$43,($D283/50-$T$43*$P$9)/$P$9,"")</f>
        <v/>
      </c>
      <c r="L283" s="25" t="str">
        <f>IFERROR(($D283/50-_xlfn.XLOOKUP($H283,$O$48:$O$62,$T$48:$T$62)*$P$14)/$P$9,"")</f>
        <v/>
      </c>
      <c r="M283" s="14">
        <f t="shared" si="4"/>
        <v>0</v>
      </c>
    </row>
    <row r="284" spans="2:13" x14ac:dyDescent="0.25">
      <c r="B284" s="10" t="str">
        <f>IF('Importér data'!C295="type",'Importér data'!F295,"")</f>
        <v/>
      </c>
      <c r="C284" s="10">
        <f>'Importér data'!H295</f>
        <v>0</v>
      </c>
      <c r="D284" s="32" t="str">
        <f>IF('Importér data'!C295="type",'Importér data'!N295,"")</f>
        <v/>
      </c>
      <c r="E284" s="24"/>
      <c r="F284" s="45"/>
      <c r="G284" s="45"/>
      <c r="H284" s="24"/>
      <c r="I284" s="25" t="str">
        <f>IFERROR(($D284/50-_xlfn.XLOOKUP($E284,$O$35:$O$43,$T$35:$T$43)*F284)/$P$9,"")</f>
        <v/>
      </c>
      <c r="J284" s="25" t="str">
        <f>IFERROR(_xlfn.XLOOKUP($E284,$O$35:$O$43,$T$35:$T$43)*G284/$P$9,"")</f>
        <v/>
      </c>
      <c r="K284" s="25" t="str">
        <f>IF(E284=$O$43,($D284/50-$T$43*$P$9)/$P$9,"")</f>
        <v/>
      </c>
      <c r="L284" s="25" t="str">
        <f>IFERROR(($D284/50-_xlfn.XLOOKUP($H284,$O$48:$O$62,$T$48:$T$62)*$P$14)/$P$9,"")</f>
        <v/>
      </c>
      <c r="M284" s="14">
        <f t="shared" si="4"/>
        <v>0</v>
      </c>
    </row>
    <row r="285" spans="2:13" x14ac:dyDescent="0.25">
      <c r="B285" s="10" t="str">
        <f>IF('Importér data'!C296="type",'Importér data'!F296,"")</f>
        <v/>
      </c>
      <c r="C285" s="10">
        <f>'Importér data'!H296</f>
        <v>0</v>
      </c>
      <c r="D285" s="32" t="str">
        <f>IF('Importér data'!C296="type",'Importér data'!N296,"")</f>
        <v/>
      </c>
      <c r="E285" s="24"/>
      <c r="F285" s="45"/>
      <c r="G285" s="45"/>
      <c r="H285" s="24"/>
      <c r="I285" s="25" t="str">
        <f>IFERROR(($D285/50-_xlfn.XLOOKUP($E285,$O$35:$O$43,$T$35:$T$43)*F285)/$P$9,"")</f>
        <v/>
      </c>
      <c r="J285" s="25" t="str">
        <f>IFERROR(_xlfn.XLOOKUP($E285,$O$35:$O$43,$T$35:$T$43)*G285/$P$9,"")</f>
        <v/>
      </c>
      <c r="K285" s="25" t="str">
        <f>IF(E285=$O$43,($D285/50-$T$43*$P$9)/$P$9,"")</f>
        <v/>
      </c>
      <c r="L285" s="25" t="str">
        <f>IFERROR(($D285/50-_xlfn.XLOOKUP($H285,$O$48:$O$62,$T$48:$T$62)*$P$14)/$P$9,"")</f>
        <v/>
      </c>
      <c r="M285" s="14">
        <f t="shared" si="4"/>
        <v>0</v>
      </c>
    </row>
    <row r="286" spans="2:13" x14ac:dyDescent="0.25">
      <c r="B286" s="10" t="str">
        <f>IF('Importér data'!C297="type",'Importér data'!F297,"")</f>
        <v/>
      </c>
      <c r="C286" s="10">
        <f>'Importér data'!H297</f>
        <v>0</v>
      </c>
      <c r="D286" s="32" t="str">
        <f>IF('Importér data'!C297="type",'Importér data'!N297,"")</f>
        <v/>
      </c>
      <c r="E286" s="24"/>
      <c r="F286" s="45"/>
      <c r="G286" s="45"/>
      <c r="H286" s="24"/>
      <c r="I286" s="25" t="str">
        <f>IFERROR(($D286/50-_xlfn.XLOOKUP($E286,$O$35:$O$43,$T$35:$T$43)*F286)/$P$9,"")</f>
        <v/>
      </c>
      <c r="J286" s="25" t="str">
        <f>IFERROR(_xlfn.XLOOKUP($E286,$O$35:$O$43,$T$35:$T$43)*G286/$P$9,"")</f>
        <v/>
      </c>
      <c r="K286" s="25" t="str">
        <f>IF(E286=$O$43,($D286/50-$T$43*$P$9)/$P$9,"")</f>
        <v/>
      </c>
      <c r="L286" s="25" t="str">
        <f>IFERROR(($D286/50-_xlfn.XLOOKUP($H286,$O$48:$O$62,$T$48:$T$62)*$P$14)/$P$9,"")</f>
        <v/>
      </c>
      <c r="M286" s="14">
        <f t="shared" si="4"/>
        <v>0</v>
      </c>
    </row>
    <row r="287" spans="2:13" x14ac:dyDescent="0.25">
      <c r="B287" s="10" t="str">
        <f>IF('Importér data'!C298="type",'Importér data'!F298,"")</f>
        <v/>
      </c>
      <c r="C287" s="10">
        <f>'Importér data'!H298</f>
        <v>0</v>
      </c>
      <c r="D287" s="32" t="str">
        <f>IF('Importér data'!C298="type",'Importér data'!N298,"")</f>
        <v/>
      </c>
      <c r="E287" s="24"/>
      <c r="F287" s="45"/>
      <c r="G287" s="45"/>
      <c r="H287" s="24"/>
      <c r="I287" s="25" t="str">
        <f>IFERROR(($D287/50-_xlfn.XLOOKUP($E287,$O$35:$O$43,$T$35:$T$43)*F287)/$P$9,"")</f>
        <v/>
      </c>
      <c r="J287" s="25" t="str">
        <f>IFERROR(_xlfn.XLOOKUP($E287,$O$35:$O$43,$T$35:$T$43)*G287/$P$9,"")</f>
        <v/>
      </c>
      <c r="K287" s="25" t="str">
        <f>IF(E287=$O$43,($D287/50-$T$43*$P$9)/$P$9,"")</f>
        <v/>
      </c>
      <c r="L287" s="25" t="str">
        <f>IFERROR(($D287/50-_xlfn.XLOOKUP($H287,$O$48:$O$62,$T$48:$T$62)*$P$14)/$P$9,"")</f>
        <v/>
      </c>
      <c r="M287" s="14">
        <f t="shared" si="4"/>
        <v>0</v>
      </c>
    </row>
    <row r="288" spans="2:13" x14ac:dyDescent="0.25">
      <c r="B288" s="10" t="str">
        <f>IF('Importér data'!C299="type",'Importér data'!F299,"")</f>
        <v/>
      </c>
      <c r="C288" s="10">
        <f>'Importér data'!H299</f>
        <v>0</v>
      </c>
      <c r="D288" s="32" t="str">
        <f>IF('Importér data'!C299="type",'Importér data'!N299,"")</f>
        <v/>
      </c>
      <c r="E288" s="24"/>
      <c r="F288" s="45"/>
      <c r="G288" s="45"/>
      <c r="H288" s="24"/>
      <c r="I288" s="25" t="str">
        <f>IFERROR(($D288/50-_xlfn.XLOOKUP($E288,$O$35:$O$43,$T$35:$T$43)*F288)/$P$9,"")</f>
        <v/>
      </c>
      <c r="J288" s="25" t="str">
        <f>IFERROR(_xlfn.XLOOKUP($E288,$O$35:$O$43,$T$35:$T$43)*G288/$P$9,"")</f>
        <v/>
      </c>
      <c r="K288" s="25" t="str">
        <f>IF(E288=$O$43,($D288/50-$T$43*$P$9)/$P$9,"")</f>
        <v/>
      </c>
      <c r="L288" s="25" t="str">
        <f>IFERROR(($D288/50-_xlfn.XLOOKUP($H288,$O$48:$O$62,$T$48:$T$62)*$P$14)/$P$9,"")</f>
        <v/>
      </c>
      <c r="M288" s="14">
        <f t="shared" si="4"/>
        <v>0</v>
      </c>
    </row>
    <row r="289" spans="2:13" x14ac:dyDescent="0.25">
      <c r="B289" s="10" t="str">
        <f>IF('Importér data'!C300="type",'Importér data'!F300,"")</f>
        <v/>
      </c>
      <c r="C289" s="10">
        <f>'Importér data'!H300</f>
        <v>0</v>
      </c>
      <c r="D289" s="32" t="str">
        <f>IF('Importér data'!C300="type",'Importér data'!N300,"")</f>
        <v/>
      </c>
      <c r="E289" s="24"/>
      <c r="F289" s="45"/>
      <c r="G289" s="45"/>
      <c r="H289" s="24"/>
      <c r="I289" s="25" t="str">
        <f>IFERROR(($D289/50-_xlfn.XLOOKUP($E289,$O$35:$O$43,$T$35:$T$43)*F289)/$P$9,"")</f>
        <v/>
      </c>
      <c r="J289" s="25" t="str">
        <f>IFERROR(_xlfn.XLOOKUP($E289,$O$35:$O$43,$T$35:$T$43)*G289/$P$9,"")</f>
        <v/>
      </c>
      <c r="K289" s="25" t="str">
        <f>IF(E289=$O$43,($D289/50-$T$43*$P$9)/$P$9,"")</f>
        <v/>
      </c>
      <c r="L289" s="25" t="str">
        <f>IFERROR(($D289/50-_xlfn.XLOOKUP($H289,$O$48:$O$62,$T$48:$T$62)*$P$14)/$P$9,"")</f>
        <v/>
      </c>
      <c r="M289" s="14">
        <f t="shared" si="4"/>
        <v>0</v>
      </c>
    </row>
    <row r="290" spans="2:13" x14ac:dyDescent="0.25">
      <c r="B290" s="10" t="str">
        <f>IF('Importér data'!C301="type",'Importér data'!F301,"")</f>
        <v/>
      </c>
      <c r="C290" s="10">
        <f>'Importér data'!H301</f>
        <v>0</v>
      </c>
      <c r="D290" s="32" t="str">
        <f>IF('Importér data'!C301="type",'Importér data'!N301,"")</f>
        <v/>
      </c>
      <c r="E290" s="24"/>
      <c r="F290" s="45"/>
      <c r="G290" s="45"/>
      <c r="H290" s="24"/>
      <c r="I290" s="25" t="str">
        <f>IFERROR(($D290/50-_xlfn.XLOOKUP($E290,$O$35:$O$43,$T$35:$T$43)*F290)/$P$9,"")</f>
        <v/>
      </c>
      <c r="J290" s="25" t="str">
        <f>IFERROR(_xlfn.XLOOKUP($E290,$O$35:$O$43,$T$35:$T$43)*G290/$P$9,"")</f>
        <v/>
      </c>
      <c r="K290" s="25" t="str">
        <f>IF(E290=$O$43,($D290/50-$T$43*$P$9)/$P$9,"")</f>
        <v/>
      </c>
      <c r="L290" s="25" t="str">
        <f>IFERROR(($D290/50-_xlfn.XLOOKUP($H290,$O$48:$O$62,$T$48:$T$62)*$P$14)/$P$9,"")</f>
        <v/>
      </c>
      <c r="M290" s="14">
        <f t="shared" si="4"/>
        <v>0</v>
      </c>
    </row>
    <row r="291" spans="2:13" x14ac:dyDescent="0.25">
      <c r="B291" s="10" t="str">
        <f>IF('Importér data'!C302="type",'Importér data'!F302,"")</f>
        <v/>
      </c>
      <c r="C291" s="10">
        <f>'Importér data'!H302</f>
        <v>0</v>
      </c>
      <c r="D291" s="32" t="str">
        <f>IF('Importér data'!C302="type",'Importér data'!N302,"")</f>
        <v/>
      </c>
      <c r="E291" s="24"/>
      <c r="F291" s="45"/>
      <c r="G291" s="45"/>
      <c r="H291" s="24"/>
      <c r="I291" s="25" t="str">
        <f>IFERROR(($D291/50-_xlfn.XLOOKUP($E291,$O$35:$O$43,$T$35:$T$43)*F291)/$P$9,"")</f>
        <v/>
      </c>
      <c r="J291" s="25" t="str">
        <f>IFERROR(_xlfn.XLOOKUP($E291,$O$35:$O$43,$T$35:$T$43)*G291/$P$9,"")</f>
        <v/>
      </c>
      <c r="K291" s="25" t="str">
        <f>IF(E291=$O$43,($D291/50-$T$43*$P$9)/$P$9,"")</f>
        <v/>
      </c>
      <c r="L291" s="25" t="str">
        <f>IFERROR(($D291/50-_xlfn.XLOOKUP($H291,$O$48:$O$62,$T$48:$T$62)*$P$14)/$P$9,"")</f>
        <v/>
      </c>
      <c r="M291" s="14">
        <f t="shared" si="4"/>
        <v>0</v>
      </c>
    </row>
    <row r="292" spans="2:13" x14ac:dyDescent="0.25">
      <c r="B292" s="10" t="str">
        <f>IF('Importér data'!C303="type",'Importér data'!F303,"")</f>
        <v/>
      </c>
      <c r="C292" s="10">
        <f>'Importér data'!H303</f>
        <v>0</v>
      </c>
      <c r="D292" s="32" t="str">
        <f>IF('Importér data'!C303="type",'Importér data'!N303,"")</f>
        <v/>
      </c>
      <c r="E292" s="24"/>
      <c r="F292" s="45"/>
      <c r="G292" s="45"/>
      <c r="H292" s="24"/>
      <c r="I292" s="25" t="str">
        <f>IFERROR(($D292/50-_xlfn.XLOOKUP($E292,$O$35:$O$43,$T$35:$T$43)*F292)/$P$9,"")</f>
        <v/>
      </c>
      <c r="J292" s="25" t="str">
        <f>IFERROR(_xlfn.XLOOKUP($E292,$O$35:$O$43,$T$35:$T$43)*G292/$P$9,"")</f>
        <v/>
      </c>
      <c r="K292" s="25" t="str">
        <f>IF(E292=$O$43,($D292/50-$T$43*$P$9)/$P$9,"")</f>
        <v/>
      </c>
      <c r="L292" s="25" t="str">
        <f>IFERROR(($D292/50-_xlfn.XLOOKUP($H292,$O$48:$O$62,$T$48:$T$62)*$P$14)/$P$9,"")</f>
        <v/>
      </c>
      <c r="M292" s="14">
        <f t="shared" si="4"/>
        <v>0</v>
      </c>
    </row>
    <row r="293" spans="2:13" x14ac:dyDescent="0.25">
      <c r="B293" s="10" t="str">
        <f>IF('Importér data'!C304="type",'Importér data'!F304,"")</f>
        <v/>
      </c>
      <c r="C293" s="10">
        <f>'Importér data'!H304</f>
        <v>0</v>
      </c>
      <c r="D293" s="32" t="str">
        <f>IF('Importér data'!C304="type",'Importér data'!N304,"")</f>
        <v/>
      </c>
      <c r="E293" s="24"/>
      <c r="F293" s="45"/>
      <c r="G293" s="45"/>
      <c r="H293" s="24"/>
      <c r="I293" s="25" t="str">
        <f>IFERROR(($D293/50-_xlfn.XLOOKUP($E293,$O$35:$O$43,$T$35:$T$43)*F293)/$P$9,"")</f>
        <v/>
      </c>
      <c r="J293" s="25" t="str">
        <f>IFERROR(_xlfn.XLOOKUP($E293,$O$35:$O$43,$T$35:$T$43)*G293/$P$9,"")</f>
        <v/>
      </c>
      <c r="K293" s="25" t="str">
        <f>IF(E293=$O$43,($D293/50-$T$43*$P$9)/$P$9,"")</f>
        <v/>
      </c>
      <c r="L293" s="25" t="str">
        <f>IFERROR(($D293/50-_xlfn.XLOOKUP($H293,$O$48:$O$62,$T$48:$T$62)*$P$14)/$P$9,"")</f>
        <v/>
      </c>
      <c r="M293" s="14">
        <f t="shared" si="4"/>
        <v>0</v>
      </c>
    </row>
    <row r="294" spans="2:13" x14ac:dyDescent="0.25">
      <c r="B294" s="10" t="str">
        <f>IF('Importér data'!C305="type",'Importér data'!F305,"")</f>
        <v/>
      </c>
      <c r="C294" s="10">
        <f>'Importér data'!H305</f>
        <v>0</v>
      </c>
      <c r="D294" s="32" t="str">
        <f>IF('Importér data'!C305="type",'Importér data'!N305,"")</f>
        <v/>
      </c>
      <c r="E294" s="24"/>
      <c r="F294" s="45"/>
      <c r="G294" s="45"/>
      <c r="H294" s="24"/>
      <c r="I294" s="25" t="str">
        <f>IFERROR(($D294/50-_xlfn.XLOOKUP($E294,$O$35:$O$43,$T$35:$T$43)*F294)/$P$9,"")</f>
        <v/>
      </c>
      <c r="J294" s="25" t="str">
        <f>IFERROR(_xlfn.XLOOKUP($E294,$O$35:$O$43,$T$35:$T$43)*G294/$P$9,"")</f>
        <v/>
      </c>
      <c r="K294" s="25" t="str">
        <f>IF(E294=$O$43,($D294/50-$T$43*$P$9)/$P$9,"")</f>
        <v/>
      </c>
      <c r="L294" s="25" t="str">
        <f>IFERROR(($D294/50-_xlfn.XLOOKUP($H294,$O$48:$O$62,$T$48:$T$62)*$P$14)/$P$9,"")</f>
        <v/>
      </c>
      <c r="M294" s="14">
        <f t="shared" si="4"/>
        <v>0</v>
      </c>
    </row>
    <row r="295" spans="2:13" x14ac:dyDescent="0.25">
      <c r="B295" s="10" t="str">
        <f>IF('Importér data'!C306="type",'Importér data'!F306,"")</f>
        <v/>
      </c>
      <c r="C295" s="10">
        <f>'Importér data'!H306</f>
        <v>0</v>
      </c>
      <c r="D295" s="32" t="str">
        <f>IF('Importér data'!C306="type",'Importér data'!N306,"")</f>
        <v/>
      </c>
      <c r="E295" s="24"/>
      <c r="F295" s="45"/>
      <c r="G295" s="45"/>
      <c r="H295" s="24"/>
      <c r="I295" s="25" t="str">
        <f>IFERROR(($D295/50-_xlfn.XLOOKUP($E295,$O$35:$O$43,$T$35:$T$43)*F295)/$P$9,"")</f>
        <v/>
      </c>
      <c r="J295" s="25" t="str">
        <f>IFERROR(_xlfn.XLOOKUP($E295,$O$35:$O$43,$T$35:$T$43)*G295/$P$9,"")</f>
        <v/>
      </c>
      <c r="K295" s="25" t="str">
        <f>IF(E295=$O$43,($D295/50-$T$43*$P$9)/$P$9,"")</f>
        <v/>
      </c>
      <c r="L295" s="25" t="str">
        <f>IFERROR(($D295/50-_xlfn.XLOOKUP($H295,$O$48:$O$62,$T$48:$T$62)*$P$14)/$P$9,"")</f>
        <v/>
      </c>
      <c r="M295" s="14">
        <f t="shared" si="4"/>
        <v>0</v>
      </c>
    </row>
    <row r="296" spans="2:13" x14ac:dyDescent="0.25">
      <c r="B296" s="10" t="str">
        <f>IF('Importér data'!C307="type",'Importér data'!F307,"")</f>
        <v/>
      </c>
      <c r="C296" s="10">
        <f>'Importér data'!H307</f>
        <v>0</v>
      </c>
      <c r="D296" s="32" t="str">
        <f>IF('Importér data'!C307="type",'Importér data'!N307,"")</f>
        <v/>
      </c>
      <c r="E296" s="24"/>
      <c r="F296" s="45"/>
      <c r="G296" s="45"/>
      <c r="H296" s="24"/>
      <c r="I296" s="25" t="str">
        <f>IFERROR(($D296/50-_xlfn.XLOOKUP($E296,$O$35:$O$43,$T$35:$T$43)*F296)/$P$9,"")</f>
        <v/>
      </c>
      <c r="J296" s="25" t="str">
        <f>IFERROR(_xlfn.XLOOKUP($E296,$O$35:$O$43,$T$35:$T$43)*G296/$P$9,"")</f>
        <v/>
      </c>
      <c r="K296" s="25" t="str">
        <f>IF(E296=$O$43,($D296/50-$T$43*$P$9)/$P$9,"")</f>
        <v/>
      </c>
      <c r="L296" s="25" t="str">
        <f>IFERROR(($D296/50-_xlfn.XLOOKUP($H296,$O$48:$O$62,$T$48:$T$62)*$P$14)/$P$9,"")</f>
        <v/>
      </c>
      <c r="M296" s="14">
        <f t="shared" si="4"/>
        <v>0</v>
      </c>
    </row>
    <row r="297" spans="2:13" x14ac:dyDescent="0.25">
      <c r="B297" s="10" t="str">
        <f>IF('Importér data'!C308="type",'Importér data'!F308,"")</f>
        <v/>
      </c>
      <c r="C297" s="10">
        <f>'Importér data'!H308</f>
        <v>0</v>
      </c>
      <c r="D297" s="32" t="str">
        <f>IF('Importér data'!C308="type",'Importér data'!N308,"")</f>
        <v/>
      </c>
      <c r="E297" s="24"/>
      <c r="F297" s="45"/>
      <c r="G297" s="45"/>
      <c r="H297" s="24"/>
      <c r="I297" s="25" t="str">
        <f>IFERROR(($D297/50-_xlfn.XLOOKUP($E297,$O$35:$O$43,$T$35:$T$43)*F297)/$P$9,"")</f>
        <v/>
      </c>
      <c r="J297" s="25" t="str">
        <f>IFERROR(_xlfn.XLOOKUP($E297,$O$35:$O$43,$T$35:$T$43)*G297/$P$9,"")</f>
        <v/>
      </c>
      <c r="K297" s="25" t="str">
        <f>IF(E297=$O$43,($D297/50-$T$43*$P$9)/$P$9,"")</f>
        <v/>
      </c>
      <c r="L297" s="25" t="str">
        <f>IFERROR(($D297/50-_xlfn.XLOOKUP($H297,$O$48:$O$62,$T$48:$T$62)*$P$14)/$P$9,"")</f>
        <v/>
      </c>
      <c r="M297" s="14">
        <f t="shared" si="4"/>
        <v>0</v>
      </c>
    </row>
    <row r="298" spans="2:13" x14ac:dyDescent="0.25">
      <c r="B298" s="10" t="str">
        <f>IF('Importér data'!C309="type",'Importér data'!F309,"")</f>
        <v/>
      </c>
      <c r="C298" s="10">
        <f>'Importér data'!H309</f>
        <v>0</v>
      </c>
      <c r="D298" s="32" t="str">
        <f>IF('Importér data'!C309="type",'Importér data'!N309,"")</f>
        <v/>
      </c>
      <c r="E298" s="24"/>
      <c r="F298" s="45"/>
      <c r="G298" s="45"/>
      <c r="H298" s="24"/>
      <c r="I298" s="25" t="str">
        <f>IFERROR(($D298/50-_xlfn.XLOOKUP($E298,$O$35:$O$43,$T$35:$T$43)*F298)/$P$9,"")</f>
        <v/>
      </c>
      <c r="J298" s="25" t="str">
        <f>IFERROR(_xlfn.XLOOKUP($E298,$O$35:$O$43,$T$35:$T$43)*G298/$P$9,"")</f>
        <v/>
      </c>
      <c r="K298" s="25" t="str">
        <f>IF(E298=$O$43,($D298/50-$T$43*$P$9)/$P$9,"")</f>
        <v/>
      </c>
      <c r="L298" s="25" t="str">
        <f>IFERROR(($D298/50-_xlfn.XLOOKUP($H298,$O$48:$O$62,$T$48:$T$62)*$P$14)/$P$9,"")</f>
        <v/>
      </c>
      <c r="M298" s="14">
        <f t="shared" si="4"/>
        <v>0</v>
      </c>
    </row>
    <row r="299" spans="2:13" x14ac:dyDescent="0.25">
      <c r="B299" s="10" t="str">
        <f>IF('Importér data'!C310="type",'Importér data'!F310,"")</f>
        <v/>
      </c>
      <c r="C299" s="10">
        <f>'Importér data'!H310</f>
        <v>0</v>
      </c>
      <c r="D299" s="32" t="str">
        <f>IF('Importér data'!C310="type",'Importér data'!N310,"")</f>
        <v/>
      </c>
      <c r="E299" s="24"/>
      <c r="F299" s="45"/>
      <c r="G299" s="45"/>
      <c r="H299" s="24"/>
      <c r="I299" s="25" t="str">
        <f>IFERROR(($D299/50-_xlfn.XLOOKUP($E299,$O$35:$O$43,$T$35:$T$43)*F299)/$P$9,"")</f>
        <v/>
      </c>
      <c r="J299" s="25" t="str">
        <f>IFERROR(_xlfn.XLOOKUP($E299,$O$35:$O$43,$T$35:$T$43)*G299/$P$9,"")</f>
        <v/>
      </c>
      <c r="K299" s="25" t="str">
        <f>IF(E299=$O$43,($D299/50-$T$43*$P$9)/$P$9,"")</f>
        <v/>
      </c>
      <c r="L299" s="25" t="str">
        <f>IFERROR(($D299/50-_xlfn.XLOOKUP($H299,$O$48:$O$62,$T$48:$T$62)*$P$14)/$P$9,"")</f>
        <v/>
      </c>
      <c r="M299" s="14">
        <f t="shared" si="4"/>
        <v>0</v>
      </c>
    </row>
    <row r="300" spans="2:13" x14ac:dyDescent="0.25">
      <c r="B300" s="10" t="str">
        <f>IF('Importér data'!C311="type",'Importér data'!F311,"")</f>
        <v/>
      </c>
      <c r="C300" s="10">
        <f>'Importér data'!H311</f>
        <v>0</v>
      </c>
      <c r="D300" s="32" t="str">
        <f>IF('Importér data'!C311="type",'Importér data'!N311,"")</f>
        <v/>
      </c>
      <c r="E300" s="24"/>
      <c r="F300" s="45"/>
      <c r="G300" s="45"/>
      <c r="H300" s="24"/>
      <c r="I300" s="25" t="str">
        <f>IFERROR(($D300/50-_xlfn.XLOOKUP($E300,$O$35:$O$43,$T$35:$T$43)*F300)/$P$9,"")</f>
        <v/>
      </c>
      <c r="J300" s="25" t="str">
        <f>IFERROR(_xlfn.XLOOKUP($E300,$O$35:$O$43,$T$35:$T$43)*G300/$P$9,"")</f>
        <v/>
      </c>
      <c r="K300" s="25" t="str">
        <f>IF(E300=$O$43,($D300/50-$T$43*$P$9)/$P$9,"")</f>
        <v/>
      </c>
      <c r="L300" s="25" t="str">
        <f>IFERROR(($D300/50-_xlfn.XLOOKUP($H300,$O$48:$O$62,$T$48:$T$62)*$P$14)/$P$9,"")</f>
        <v/>
      </c>
      <c r="M300" s="14">
        <f t="shared" si="4"/>
        <v>0</v>
      </c>
    </row>
    <row r="301" spans="2:13" x14ac:dyDescent="0.25">
      <c r="B301" s="10" t="str">
        <f>IF('Importér data'!C312="type",'Importér data'!F312,"")</f>
        <v/>
      </c>
      <c r="C301" s="10">
        <f>'Importér data'!H312</f>
        <v>0</v>
      </c>
      <c r="D301" s="32" t="str">
        <f>IF('Importér data'!C312="type",'Importér data'!N312,"")</f>
        <v/>
      </c>
      <c r="E301" s="24"/>
      <c r="F301" s="45"/>
      <c r="G301" s="45"/>
      <c r="H301" s="24"/>
      <c r="I301" s="25" t="str">
        <f>IFERROR(($D301/50-_xlfn.XLOOKUP($E301,$O$35:$O$43,$T$35:$T$43)*F301)/$P$9,"")</f>
        <v/>
      </c>
      <c r="J301" s="25" t="str">
        <f>IFERROR(_xlfn.XLOOKUP($E301,$O$35:$O$43,$T$35:$T$43)*G301/$P$9,"")</f>
        <v/>
      </c>
      <c r="K301" s="25" t="str">
        <f>IF(E301=$O$43,($D301/50-$T$43*$P$9)/$P$9,"")</f>
        <v/>
      </c>
      <c r="L301" s="25" t="str">
        <f>IFERROR(($D301/50-_xlfn.XLOOKUP($H301,$O$48:$O$62,$T$48:$T$62)*$P$14)/$P$9,"")</f>
        <v/>
      </c>
      <c r="M301" s="14">
        <f t="shared" si="4"/>
        <v>0</v>
      </c>
    </row>
    <row r="302" spans="2:13" x14ac:dyDescent="0.25">
      <c r="B302" s="10" t="str">
        <f>IF('Importér data'!C313="type",'Importér data'!F313,"")</f>
        <v/>
      </c>
      <c r="C302" s="10">
        <f>'Importér data'!H313</f>
        <v>0</v>
      </c>
      <c r="D302" s="32" t="str">
        <f>IF('Importér data'!C313="type",'Importér data'!N313,"")</f>
        <v/>
      </c>
      <c r="E302" s="24"/>
      <c r="F302" s="45"/>
      <c r="G302" s="45"/>
      <c r="H302" s="24"/>
      <c r="I302" s="25" t="str">
        <f>IFERROR(($D302/50-_xlfn.XLOOKUP($E302,$O$35:$O$43,$T$35:$T$43)*F302)/$P$9,"")</f>
        <v/>
      </c>
      <c r="J302" s="25" t="str">
        <f>IFERROR(_xlfn.XLOOKUP($E302,$O$35:$O$43,$T$35:$T$43)*G302/$P$9,"")</f>
        <v/>
      </c>
      <c r="K302" s="25" t="str">
        <f>IF(E302=$O$43,($D302/50-$T$43*$P$9)/$P$9,"")</f>
        <v/>
      </c>
      <c r="L302" s="25" t="str">
        <f>IFERROR(($D302/50-_xlfn.XLOOKUP($H302,$O$48:$O$62,$T$48:$T$62)*$P$14)/$P$9,"")</f>
        <v/>
      </c>
      <c r="M302" s="14">
        <f t="shared" si="4"/>
        <v>0</v>
      </c>
    </row>
    <row r="303" spans="2:13" x14ac:dyDescent="0.25">
      <c r="B303" s="10" t="str">
        <f>IF('Importér data'!C314="type",'Importér data'!F314,"")</f>
        <v/>
      </c>
      <c r="C303" s="10">
        <f>'Importér data'!H314</f>
        <v>0</v>
      </c>
      <c r="D303" s="32" t="str">
        <f>IF('Importér data'!C314="type",'Importér data'!N314,"")</f>
        <v/>
      </c>
      <c r="E303" s="24"/>
      <c r="F303" s="45"/>
      <c r="G303" s="45"/>
      <c r="H303" s="24"/>
      <c r="I303" s="25" t="str">
        <f>IFERROR(($D303/50-_xlfn.XLOOKUP($E303,$O$35:$O$43,$T$35:$T$43)*F303)/$P$9,"")</f>
        <v/>
      </c>
      <c r="J303" s="25" t="str">
        <f>IFERROR(_xlfn.XLOOKUP($E303,$O$35:$O$43,$T$35:$T$43)*G303/$P$9,"")</f>
        <v/>
      </c>
      <c r="K303" s="25" t="str">
        <f>IF(E303=$O$43,($D303/50-$T$43*$P$9)/$P$9,"")</f>
        <v/>
      </c>
      <c r="L303" s="25" t="str">
        <f>IFERROR(($D303/50-_xlfn.XLOOKUP($H303,$O$48:$O$62,$T$48:$T$62)*$P$14)/$P$9,"")</f>
        <v/>
      </c>
      <c r="M303" s="14">
        <f t="shared" si="4"/>
        <v>0</v>
      </c>
    </row>
    <row r="304" spans="2:13" x14ac:dyDescent="0.25">
      <c r="B304" s="10" t="str">
        <f>IF('Importér data'!C315="type",'Importér data'!F315,"")</f>
        <v/>
      </c>
      <c r="C304" s="10">
        <f>'Importér data'!H315</f>
        <v>0</v>
      </c>
      <c r="D304" s="32" t="str">
        <f>IF('Importér data'!C315="type",'Importér data'!N315,"")</f>
        <v/>
      </c>
      <c r="E304" s="24"/>
      <c r="F304" s="45"/>
      <c r="G304" s="45"/>
      <c r="H304" s="24"/>
      <c r="I304" s="25" t="str">
        <f>IFERROR(($D304/50-_xlfn.XLOOKUP($E304,$O$35:$O$43,$T$35:$T$43)*F304)/$P$9,"")</f>
        <v/>
      </c>
      <c r="J304" s="25" t="str">
        <f>IFERROR(_xlfn.XLOOKUP($E304,$O$35:$O$43,$T$35:$T$43)*G304/$P$9,"")</f>
        <v/>
      </c>
      <c r="K304" s="25" t="str">
        <f>IF(E304=$O$43,($D304/50-$T$43*$P$9)/$P$9,"")</f>
        <v/>
      </c>
      <c r="L304" s="25" t="str">
        <f>IFERROR(($D304/50-_xlfn.XLOOKUP($H304,$O$48:$O$62,$T$48:$T$62)*$P$14)/$P$9,"")</f>
        <v/>
      </c>
      <c r="M304" s="14">
        <f t="shared" si="4"/>
        <v>0</v>
      </c>
    </row>
    <row r="305" spans="2:13" x14ac:dyDescent="0.25">
      <c r="B305" s="10" t="str">
        <f>IF('Importér data'!C316="type",'Importér data'!F316,"")</f>
        <v/>
      </c>
      <c r="C305" s="10">
        <f>'Importér data'!H316</f>
        <v>0</v>
      </c>
      <c r="D305" s="32" t="str">
        <f>IF('Importér data'!C316="type",'Importér data'!N316,"")</f>
        <v/>
      </c>
      <c r="E305" s="24"/>
      <c r="F305" s="45"/>
      <c r="G305" s="45"/>
      <c r="H305" s="24"/>
      <c r="I305" s="25" t="str">
        <f>IFERROR(($D305/50-_xlfn.XLOOKUP($E305,$O$35:$O$43,$T$35:$T$43)*F305)/$P$9,"")</f>
        <v/>
      </c>
      <c r="J305" s="25" t="str">
        <f>IFERROR(_xlfn.XLOOKUP($E305,$O$35:$O$43,$T$35:$T$43)*G305/$P$9,"")</f>
        <v/>
      </c>
      <c r="K305" s="25" t="str">
        <f>IF(E305=$O$43,($D305/50-$T$43*$P$9)/$P$9,"")</f>
        <v/>
      </c>
      <c r="L305" s="25" t="str">
        <f>IFERROR(($D305/50-_xlfn.XLOOKUP($H305,$O$48:$O$62,$T$48:$T$62)*$P$14)/$P$9,"")</f>
        <v/>
      </c>
      <c r="M305" s="14">
        <f t="shared" si="4"/>
        <v>0</v>
      </c>
    </row>
    <row r="306" spans="2:13" x14ac:dyDescent="0.25">
      <c r="B306" s="10" t="str">
        <f>IF('Importér data'!C317="type",'Importér data'!F317,"")</f>
        <v/>
      </c>
      <c r="C306" s="10">
        <f>'Importér data'!H317</f>
        <v>0</v>
      </c>
      <c r="D306" s="32" t="str">
        <f>IF('Importér data'!C317="type",'Importér data'!N317,"")</f>
        <v/>
      </c>
      <c r="E306" s="24"/>
      <c r="F306" s="45"/>
      <c r="G306" s="45"/>
      <c r="H306" s="24"/>
      <c r="I306" s="25" t="str">
        <f>IFERROR(($D306/50-_xlfn.XLOOKUP($E306,$O$35:$O$43,$T$35:$T$43)*F306)/$P$9,"")</f>
        <v/>
      </c>
      <c r="J306" s="25" t="str">
        <f>IFERROR(_xlfn.XLOOKUP($E306,$O$35:$O$43,$T$35:$T$43)*G306/$P$9,"")</f>
        <v/>
      </c>
      <c r="K306" s="25" t="str">
        <f>IF(E306=$O$43,($D306/50-$T$43*$P$9)/$P$9,"")</f>
        <v/>
      </c>
      <c r="L306" s="25" t="str">
        <f>IFERROR(($D306/50-_xlfn.XLOOKUP($H306,$O$48:$O$62,$T$48:$T$62)*$P$14)/$P$9,"")</f>
        <v/>
      </c>
      <c r="M306" s="14">
        <f t="shared" si="4"/>
        <v>0</v>
      </c>
    </row>
    <row r="307" spans="2:13" x14ac:dyDescent="0.25">
      <c r="B307" s="10" t="str">
        <f>IF('Importér data'!C318="type",'Importér data'!F318,"")</f>
        <v/>
      </c>
      <c r="C307" s="10">
        <f>'Importér data'!H318</f>
        <v>0</v>
      </c>
      <c r="D307" s="32" t="str">
        <f>IF('Importér data'!C318="type",'Importér data'!N318,"")</f>
        <v/>
      </c>
      <c r="E307" s="24"/>
      <c r="F307" s="45"/>
      <c r="G307" s="45"/>
      <c r="H307" s="24"/>
      <c r="I307" s="25" t="str">
        <f>IFERROR(($D307/50-_xlfn.XLOOKUP($E307,$O$35:$O$43,$T$35:$T$43)*F307)/$P$9,"")</f>
        <v/>
      </c>
      <c r="J307" s="25" t="str">
        <f>IFERROR(_xlfn.XLOOKUP($E307,$O$35:$O$43,$T$35:$T$43)*G307/$P$9,"")</f>
        <v/>
      </c>
      <c r="K307" s="25" t="str">
        <f>IF(E307=$O$43,($D307/50-$T$43*$P$9)/$P$9,"")</f>
        <v/>
      </c>
      <c r="L307" s="25" t="str">
        <f>IFERROR(($D307/50-_xlfn.XLOOKUP($H307,$O$48:$O$62,$T$48:$T$62)*$P$14)/$P$9,"")</f>
        <v/>
      </c>
      <c r="M307" s="14">
        <f t="shared" si="4"/>
        <v>0</v>
      </c>
    </row>
    <row r="308" spans="2:13" x14ac:dyDescent="0.25">
      <c r="B308" s="10" t="str">
        <f>IF('Importér data'!C319="type",'Importér data'!F319,"")</f>
        <v/>
      </c>
      <c r="C308" s="10">
        <f>'Importér data'!H319</f>
        <v>0</v>
      </c>
      <c r="D308" s="32" t="str">
        <f>IF('Importér data'!C319="type",'Importér data'!N319,"")</f>
        <v/>
      </c>
      <c r="E308" s="24"/>
      <c r="F308" s="45"/>
      <c r="G308" s="45"/>
      <c r="H308" s="24"/>
      <c r="I308" s="25" t="str">
        <f>IFERROR(($D308/50-_xlfn.XLOOKUP($E308,$O$35:$O$43,$T$35:$T$43)*F308)/$P$9,"")</f>
        <v/>
      </c>
      <c r="J308" s="25" t="str">
        <f>IFERROR(_xlfn.XLOOKUP($E308,$O$35:$O$43,$T$35:$T$43)*G308/$P$9,"")</f>
        <v/>
      </c>
      <c r="K308" s="25" t="str">
        <f>IF(E308=$O$43,($D308/50-$T$43*$P$9)/$P$9,"")</f>
        <v/>
      </c>
      <c r="L308" s="25" t="str">
        <f>IFERROR(($D308/50-_xlfn.XLOOKUP($H308,$O$48:$O$62,$T$48:$T$62)*$P$14)/$P$9,"")</f>
        <v/>
      </c>
      <c r="M308" s="14">
        <f t="shared" si="4"/>
        <v>0</v>
      </c>
    </row>
    <row r="309" spans="2:13" x14ac:dyDescent="0.25">
      <c r="B309" s="10" t="str">
        <f>IF('Importér data'!C320="type",'Importér data'!F320,"")</f>
        <v/>
      </c>
      <c r="C309" s="10">
        <f>'Importér data'!H320</f>
        <v>0</v>
      </c>
      <c r="D309" s="32" t="str">
        <f>IF('Importér data'!C320="type",'Importér data'!N320,"")</f>
        <v/>
      </c>
      <c r="E309" s="24"/>
      <c r="F309" s="45"/>
      <c r="G309" s="45"/>
      <c r="H309" s="24"/>
      <c r="I309" s="25" t="str">
        <f>IFERROR(($D309/50-_xlfn.XLOOKUP($E309,$O$35:$O$43,$T$35:$T$43)*F309)/$P$9,"")</f>
        <v/>
      </c>
      <c r="J309" s="25" t="str">
        <f>IFERROR(_xlfn.XLOOKUP($E309,$O$35:$O$43,$T$35:$T$43)*G309/$P$9,"")</f>
        <v/>
      </c>
      <c r="K309" s="25" t="str">
        <f>IF(E309=$O$43,($D309/50-$T$43*$P$9)/$P$9,"")</f>
        <v/>
      </c>
      <c r="L309" s="25" t="str">
        <f>IFERROR(($D309/50-_xlfn.XLOOKUP($H309,$O$48:$O$62,$T$48:$T$62)*$P$14)/$P$9,"")</f>
        <v/>
      </c>
      <c r="M309" s="14">
        <f t="shared" si="4"/>
        <v>0</v>
      </c>
    </row>
    <row r="310" spans="2:13" x14ac:dyDescent="0.25">
      <c r="B310" s="10" t="str">
        <f>IF('Importér data'!C321="type",'Importér data'!F321,"")</f>
        <v/>
      </c>
      <c r="C310" s="10">
        <f>'Importér data'!H321</f>
        <v>0</v>
      </c>
      <c r="D310" s="32" t="str">
        <f>IF('Importér data'!C321="type",'Importér data'!N321,"")</f>
        <v/>
      </c>
      <c r="E310" s="24"/>
      <c r="F310" s="45"/>
      <c r="G310" s="45"/>
      <c r="H310" s="24"/>
      <c r="I310" s="25" t="str">
        <f>IFERROR(($D310/50-_xlfn.XLOOKUP($E310,$O$35:$O$43,$T$35:$T$43)*F310)/$P$9,"")</f>
        <v/>
      </c>
      <c r="J310" s="25" t="str">
        <f>IFERROR(_xlfn.XLOOKUP($E310,$O$35:$O$43,$T$35:$T$43)*G310/$P$9,"")</f>
        <v/>
      </c>
      <c r="K310" s="25" t="str">
        <f>IF(E310=$O$43,($D310/50-$T$43*$P$9)/$P$9,"")</f>
        <v/>
      </c>
      <c r="L310" s="25" t="str">
        <f>IFERROR(($D310/50-_xlfn.XLOOKUP($H310,$O$48:$O$62,$T$48:$T$62)*$P$14)/$P$9,"")</f>
        <v/>
      </c>
      <c r="M310" s="14">
        <f t="shared" si="4"/>
        <v>0</v>
      </c>
    </row>
    <row r="311" spans="2:13" x14ac:dyDescent="0.25">
      <c r="B311" s="10" t="str">
        <f>IF('Importér data'!C322="type",'Importér data'!F322,"")</f>
        <v/>
      </c>
      <c r="C311" s="10">
        <f>'Importér data'!H322</f>
        <v>0</v>
      </c>
      <c r="D311" s="32" t="str">
        <f>IF('Importér data'!C322="type",'Importér data'!N322,"")</f>
        <v/>
      </c>
      <c r="E311" s="24"/>
      <c r="F311" s="45"/>
      <c r="G311" s="45"/>
      <c r="H311" s="24"/>
      <c r="I311" s="25" t="str">
        <f>IFERROR(($D311/50-_xlfn.XLOOKUP($E311,$O$35:$O$43,$T$35:$T$43)*F311)/$P$9,"")</f>
        <v/>
      </c>
      <c r="J311" s="25" t="str">
        <f>IFERROR(_xlfn.XLOOKUP($E311,$O$35:$O$43,$T$35:$T$43)*G311/$P$9,"")</f>
        <v/>
      </c>
      <c r="K311" s="25" t="str">
        <f>IF(E311=$O$43,($D311/50-$T$43*$P$9)/$P$9,"")</f>
        <v/>
      </c>
      <c r="L311" s="25" t="str">
        <f>IFERROR(($D311/50-_xlfn.XLOOKUP($H311,$O$48:$O$62,$T$48:$T$62)*$P$14)/$P$9,"")</f>
        <v/>
      </c>
      <c r="M311" s="14">
        <f t="shared" si="4"/>
        <v>0</v>
      </c>
    </row>
    <row r="312" spans="2:13" x14ac:dyDescent="0.25">
      <c r="B312" s="10" t="str">
        <f>IF('Importér data'!C323="type",'Importér data'!F323,"")</f>
        <v/>
      </c>
      <c r="C312" s="10">
        <f>'Importér data'!H323</f>
        <v>0</v>
      </c>
      <c r="D312" s="32" t="str">
        <f>IF('Importér data'!C323="type",'Importér data'!N323,"")</f>
        <v/>
      </c>
      <c r="E312" s="24"/>
      <c r="F312" s="45"/>
      <c r="G312" s="45"/>
      <c r="H312" s="24"/>
      <c r="I312" s="25" t="str">
        <f>IFERROR(($D312/50-_xlfn.XLOOKUP($E312,$O$35:$O$43,$T$35:$T$43)*F312)/$P$9,"")</f>
        <v/>
      </c>
      <c r="J312" s="25" t="str">
        <f>IFERROR(_xlfn.XLOOKUP($E312,$O$35:$O$43,$T$35:$T$43)*G312/$P$9,"")</f>
        <v/>
      </c>
      <c r="K312" s="25" t="str">
        <f>IF(E312=$O$43,($D312/50-$T$43*$P$9)/$P$9,"")</f>
        <v/>
      </c>
      <c r="L312" s="25" t="str">
        <f>IFERROR(($D312/50-_xlfn.XLOOKUP($H312,$O$48:$O$62,$T$48:$T$62)*$P$14)/$P$9,"")</f>
        <v/>
      </c>
      <c r="M312" s="14">
        <f t="shared" si="4"/>
        <v>0</v>
      </c>
    </row>
    <row r="313" spans="2:13" x14ac:dyDescent="0.25">
      <c r="B313" s="10" t="str">
        <f>IF('Importér data'!C324="type",'Importér data'!F324,"")</f>
        <v/>
      </c>
      <c r="C313" s="10">
        <f>'Importér data'!H324</f>
        <v>0</v>
      </c>
      <c r="D313" s="32" t="str">
        <f>IF('Importér data'!C324="type",'Importér data'!N324,"")</f>
        <v/>
      </c>
      <c r="E313" s="24"/>
      <c r="F313" s="45"/>
      <c r="G313" s="45"/>
      <c r="H313" s="24"/>
      <c r="I313" s="25" t="str">
        <f>IFERROR(($D313/50-_xlfn.XLOOKUP($E313,$O$35:$O$43,$T$35:$T$43)*F313)/$P$9,"")</f>
        <v/>
      </c>
      <c r="J313" s="25" t="str">
        <f>IFERROR(_xlfn.XLOOKUP($E313,$O$35:$O$43,$T$35:$T$43)*G313/$P$9,"")</f>
        <v/>
      </c>
      <c r="K313" s="25" t="str">
        <f>IF(E313=$O$43,($D313/50-$T$43*$P$9)/$P$9,"")</f>
        <v/>
      </c>
      <c r="L313" s="25" t="str">
        <f>IFERROR(($D313/50-_xlfn.XLOOKUP($H313,$O$48:$O$62,$T$48:$T$62)*$P$14)/$P$9,"")</f>
        <v/>
      </c>
      <c r="M313" s="14">
        <f t="shared" si="4"/>
        <v>0</v>
      </c>
    </row>
    <row r="314" spans="2:13" x14ac:dyDescent="0.25">
      <c r="B314" s="10" t="str">
        <f>IF('Importér data'!C325="type",'Importér data'!F325,"")</f>
        <v/>
      </c>
      <c r="C314" s="10">
        <f>'Importér data'!H325</f>
        <v>0</v>
      </c>
      <c r="D314" s="32" t="str">
        <f>IF('Importér data'!C325="type",'Importér data'!N325,"")</f>
        <v/>
      </c>
      <c r="E314" s="24"/>
      <c r="F314" s="45"/>
      <c r="G314" s="45"/>
      <c r="H314" s="24"/>
      <c r="I314" s="25" t="str">
        <f>IFERROR(($D314/50-_xlfn.XLOOKUP($E314,$O$35:$O$43,$T$35:$T$43)*F314)/$P$9,"")</f>
        <v/>
      </c>
      <c r="J314" s="25" t="str">
        <f>IFERROR(_xlfn.XLOOKUP($E314,$O$35:$O$43,$T$35:$T$43)*G314/$P$9,"")</f>
        <v/>
      </c>
      <c r="K314" s="25" t="str">
        <f>IF(E314=$O$43,($D314/50-$T$43*$P$9)/$P$9,"")</f>
        <v/>
      </c>
      <c r="L314" s="25" t="str">
        <f>IFERROR(($D314/50-_xlfn.XLOOKUP($H314,$O$48:$O$62,$T$48:$T$62)*$P$14)/$P$9,"")</f>
        <v/>
      </c>
      <c r="M314" s="14">
        <f t="shared" si="4"/>
        <v>0</v>
      </c>
    </row>
    <row r="315" spans="2:13" x14ac:dyDescent="0.25">
      <c r="B315" s="10" t="str">
        <f>IF('Importér data'!C326="type",'Importér data'!F326,"")</f>
        <v/>
      </c>
      <c r="C315" s="10">
        <f>'Importér data'!H326</f>
        <v>0</v>
      </c>
      <c r="D315" s="32" t="str">
        <f>IF('Importér data'!C326="type",'Importér data'!N326,"")</f>
        <v/>
      </c>
      <c r="E315" s="24"/>
      <c r="F315" s="45"/>
      <c r="G315" s="45"/>
      <c r="H315" s="24"/>
      <c r="I315" s="25" t="str">
        <f>IFERROR(($D315/50-_xlfn.XLOOKUP($E315,$O$35:$O$43,$T$35:$T$43)*F315)/$P$9,"")</f>
        <v/>
      </c>
      <c r="J315" s="25" t="str">
        <f>IFERROR(_xlfn.XLOOKUP($E315,$O$35:$O$43,$T$35:$T$43)*G315/$P$9,"")</f>
        <v/>
      </c>
      <c r="K315" s="25" t="str">
        <f>IF(E315=$O$43,($D315/50-$T$43*$P$9)/$P$9,"")</f>
        <v/>
      </c>
      <c r="L315" s="25" t="str">
        <f>IFERROR(($D315/50-_xlfn.XLOOKUP($H315,$O$48:$O$62,$T$48:$T$62)*$P$14)/$P$9,"")</f>
        <v/>
      </c>
      <c r="M315" s="14">
        <f t="shared" si="4"/>
        <v>0</v>
      </c>
    </row>
    <row r="316" spans="2:13" x14ac:dyDescent="0.25">
      <c r="B316" s="10" t="str">
        <f>IF('Importér data'!C327="type",'Importér data'!F327,"")</f>
        <v/>
      </c>
      <c r="C316" s="10">
        <f>'Importér data'!H327</f>
        <v>0</v>
      </c>
      <c r="D316" s="32" t="str">
        <f>IF('Importér data'!C327="type",'Importér data'!N327,"")</f>
        <v/>
      </c>
      <c r="E316" s="24"/>
      <c r="F316" s="45"/>
      <c r="G316" s="45"/>
      <c r="H316" s="24"/>
      <c r="I316" s="25" t="str">
        <f>IFERROR(($D316/50-_xlfn.XLOOKUP($E316,$O$35:$O$43,$T$35:$T$43)*F316)/$P$9,"")</f>
        <v/>
      </c>
      <c r="J316" s="25" t="str">
        <f>IFERROR(_xlfn.XLOOKUP($E316,$O$35:$O$43,$T$35:$T$43)*G316/$P$9,"")</f>
        <v/>
      </c>
      <c r="K316" s="25" t="str">
        <f>IF(E316=$O$43,($D316/50-$T$43*$P$9)/$P$9,"")</f>
        <v/>
      </c>
      <c r="L316" s="25" t="str">
        <f>IFERROR(($D316/50-_xlfn.XLOOKUP($H316,$O$48:$O$62,$T$48:$T$62)*$P$14)/$P$9,"")</f>
        <v/>
      </c>
      <c r="M316" s="14">
        <f t="shared" si="4"/>
        <v>0</v>
      </c>
    </row>
    <row r="317" spans="2:13" x14ac:dyDescent="0.25">
      <c r="B317" s="10" t="str">
        <f>IF('Importér data'!C328="type",'Importér data'!F328,"")</f>
        <v/>
      </c>
      <c r="C317" s="10">
        <f>'Importér data'!H328</f>
        <v>0</v>
      </c>
      <c r="D317" s="32" t="str">
        <f>IF('Importér data'!C328="type",'Importér data'!N328,"")</f>
        <v/>
      </c>
      <c r="E317" s="24"/>
      <c r="F317" s="45"/>
      <c r="G317" s="45"/>
      <c r="H317" s="24"/>
      <c r="I317" s="25" t="str">
        <f>IFERROR(($D317/50-_xlfn.XLOOKUP($E317,$O$35:$O$43,$T$35:$T$43)*F317)/$P$9,"")</f>
        <v/>
      </c>
      <c r="J317" s="25" t="str">
        <f>IFERROR(_xlfn.XLOOKUP($E317,$O$35:$O$43,$T$35:$T$43)*G317/$P$9,"")</f>
        <v/>
      </c>
      <c r="K317" s="25" t="str">
        <f>IF(E317=$O$43,($D317/50-$T$43*$P$9)/$P$9,"")</f>
        <v/>
      </c>
      <c r="L317" s="25" t="str">
        <f>IFERROR(($D317/50-_xlfn.XLOOKUP($H317,$O$48:$O$62,$T$48:$T$62)*$P$14)/$P$9,"")</f>
        <v/>
      </c>
      <c r="M317" s="14">
        <f t="shared" si="4"/>
        <v>0</v>
      </c>
    </row>
    <row r="318" spans="2:13" x14ac:dyDescent="0.25">
      <c r="B318" s="10" t="str">
        <f>IF('Importér data'!C329="type",'Importér data'!F329,"")</f>
        <v/>
      </c>
      <c r="C318" s="10">
        <f>'Importér data'!H329</f>
        <v>0</v>
      </c>
      <c r="D318" s="32" t="str">
        <f>IF('Importér data'!C329="type",'Importér data'!N329,"")</f>
        <v/>
      </c>
      <c r="E318" s="24"/>
      <c r="F318" s="45"/>
      <c r="G318" s="45"/>
      <c r="H318" s="24"/>
      <c r="I318" s="25" t="str">
        <f>IFERROR(($D318/50-_xlfn.XLOOKUP($E318,$O$35:$O$43,$T$35:$T$43)*F318)/$P$9,"")</f>
        <v/>
      </c>
      <c r="J318" s="25" t="str">
        <f>IFERROR(_xlfn.XLOOKUP($E318,$O$35:$O$43,$T$35:$T$43)*G318/$P$9,"")</f>
        <v/>
      </c>
      <c r="K318" s="25" t="str">
        <f>IF(E318=$O$43,($D318/50-$T$43*$P$9)/$P$9,"")</f>
        <v/>
      </c>
      <c r="L318" s="25" t="str">
        <f>IFERROR(($D318/50-_xlfn.XLOOKUP($H318,$O$48:$O$62,$T$48:$T$62)*$P$14)/$P$9,"")</f>
        <v/>
      </c>
      <c r="M318" s="14">
        <f t="shared" si="4"/>
        <v>0</v>
      </c>
    </row>
    <row r="319" spans="2:13" x14ac:dyDescent="0.25">
      <c r="B319" s="10" t="str">
        <f>IF('Importér data'!C330="type",'Importér data'!F330,"")</f>
        <v/>
      </c>
      <c r="C319" s="10">
        <f>'Importér data'!H330</f>
        <v>0</v>
      </c>
      <c r="D319" s="32" t="str">
        <f>IF('Importér data'!C330="type",'Importér data'!N330,"")</f>
        <v/>
      </c>
      <c r="E319" s="24"/>
      <c r="F319" s="45"/>
      <c r="G319" s="45"/>
      <c r="H319" s="24"/>
      <c r="I319" s="25" t="str">
        <f>IFERROR(($D319/50-_xlfn.XLOOKUP($E319,$O$35:$O$43,$T$35:$T$43)*F319)/$P$9,"")</f>
        <v/>
      </c>
      <c r="J319" s="25" t="str">
        <f>IFERROR(_xlfn.XLOOKUP($E319,$O$35:$O$43,$T$35:$T$43)*G319/$P$9,"")</f>
        <v/>
      </c>
      <c r="K319" s="25" t="str">
        <f>IF(E319=$O$43,($D319/50-$T$43*$P$9)/$P$9,"")</f>
        <v/>
      </c>
      <c r="L319" s="25" t="str">
        <f>IFERROR(($D319/50-_xlfn.XLOOKUP($H319,$O$48:$O$62,$T$48:$T$62)*$P$14)/$P$9,"")</f>
        <v/>
      </c>
      <c r="M319" s="14">
        <f t="shared" si="4"/>
        <v>0</v>
      </c>
    </row>
    <row r="320" spans="2:13" x14ac:dyDescent="0.25">
      <c r="B320" s="10" t="str">
        <f>IF('Importér data'!C331="type",'Importér data'!F331,"")</f>
        <v/>
      </c>
      <c r="C320" s="10">
        <f>'Importér data'!H331</f>
        <v>0</v>
      </c>
      <c r="D320" s="32" t="str">
        <f>IF('Importér data'!C331="type",'Importér data'!N331,"")</f>
        <v/>
      </c>
      <c r="E320" s="24"/>
      <c r="F320" s="45"/>
      <c r="G320" s="45"/>
      <c r="H320" s="24"/>
      <c r="I320" s="25" t="str">
        <f>IFERROR(($D320/50-_xlfn.XLOOKUP($E320,$O$35:$O$43,$T$35:$T$43)*F320)/$P$9,"")</f>
        <v/>
      </c>
      <c r="J320" s="25" t="str">
        <f>IFERROR(_xlfn.XLOOKUP($E320,$O$35:$O$43,$T$35:$T$43)*G320/$P$9,"")</f>
        <v/>
      </c>
      <c r="K320" s="25" t="str">
        <f>IF(E320=$O$43,($D320/50-$T$43*$P$9)/$P$9,"")</f>
        <v/>
      </c>
      <c r="L320" s="25" t="str">
        <f>IFERROR(($D320/50-_xlfn.XLOOKUP($H320,$O$48:$O$62,$T$48:$T$62)*$P$14)/$P$9,"")</f>
        <v/>
      </c>
      <c r="M320" s="14">
        <f t="shared" si="4"/>
        <v>0</v>
      </c>
    </row>
    <row r="321" spans="2:13" x14ac:dyDescent="0.25">
      <c r="B321" s="10" t="str">
        <f>IF('Importér data'!C332="type",'Importér data'!F332,"")</f>
        <v/>
      </c>
      <c r="C321" s="10">
        <f>'Importér data'!H332</f>
        <v>0</v>
      </c>
      <c r="D321" s="32" t="str">
        <f>IF('Importér data'!C332="type",'Importér data'!N332,"")</f>
        <v/>
      </c>
      <c r="E321" s="24"/>
      <c r="F321" s="45"/>
      <c r="G321" s="45"/>
      <c r="H321" s="24"/>
      <c r="I321" s="25" t="str">
        <f>IFERROR(($D321/50-_xlfn.XLOOKUP($E321,$O$35:$O$43,$T$35:$T$43)*F321)/$P$9,"")</f>
        <v/>
      </c>
      <c r="J321" s="25" t="str">
        <f>IFERROR(_xlfn.XLOOKUP($E321,$O$35:$O$43,$T$35:$T$43)*G321/$P$9,"")</f>
        <v/>
      </c>
      <c r="K321" s="25" t="str">
        <f>IF(E321=$O$43,($D321/50-$T$43*$P$9)/$P$9,"")</f>
        <v/>
      </c>
      <c r="L321" s="25" t="str">
        <f>IFERROR(($D321/50-_xlfn.XLOOKUP($H321,$O$48:$O$62,$T$48:$T$62)*$P$14)/$P$9,"")</f>
        <v/>
      </c>
      <c r="M321" s="14">
        <f t="shared" si="4"/>
        <v>0</v>
      </c>
    </row>
    <row r="322" spans="2:13" x14ac:dyDescent="0.25">
      <c r="B322" s="10" t="str">
        <f>IF('Importér data'!C333="type",'Importér data'!F333,"")</f>
        <v/>
      </c>
      <c r="C322" s="10">
        <f>'Importér data'!H333</f>
        <v>0</v>
      </c>
      <c r="D322" s="32" t="str">
        <f>IF('Importér data'!C333="type",'Importér data'!N333,"")</f>
        <v/>
      </c>
      <c r="E322" s="24"/>
      <c r="F322" s="45"/>
      <c r="G322" s="45"/>
      <c r="H322" s="24"/>
      <c r="I322" s="25" t="str">
        <f>IFERROR(($D322/50-_xlfn.XLOOKUP($E322,$O$35:$O$43,$T$35:$T$43)*F322)/$P$9,"")</f>
        <v/>
      </c>
      <c r="J322" s="25" t="str">
        <f>IFERROR(_xlfn.XLOOKUP($E322,$O$35:$O$43,$T$35:$T$43)*G322/$P$9,"")</f>
        <v/>
      </c>
      <c r="K322" s="25" t="str">
        <f>IF(E322=$O$43,($D322/50-$T$43*$P$9)/$P$9,"")</f>
        <v/>
      </c>
      <c r="L322" s="25" t="str">
        <f>IFERROR(($D322/50-_xlfn.XLOOKUP($H322,$O$48:$O$62,$T$48:$T$62)*$P$14)/$P$9,"")</f>
        <v/>
      </c>
      <c r="M322" s="14">
        <f t="shared" si="4"/>
        <v>0</v>
      </c>
    </row>
    <row r="323" spans="2:13" x14ac:dyDescent="0.25">
      <c r="B323" s="10" t="str">
        <f>IF('Importér data'!C334="type",'Importér data'!F334,"")</f>
        <v/>
      </c>
      <c r="C323" s="10">
        <f>'Importér data'!H334</f>
        <v>0</v>
      </c>
      <c r="D323" s="32" t="str">
        <f>IF('Importér data'!C334="type",'Importér data'!N334,"")</f>
        <v/>
      </c>
      <c r="E323" s="24"/>
      <c r="F323" s="45"/>
      <c r="G323" s="45"/>
      <c r="H323" s="24"/>
      <c r="I323" s="25" t="str">
        <f>IFERROR(($D323/50-_xlfn.XLOOKUP($E323,$O$35:$O$43,$T$35:$T$43)*F323)/$P$9,"")</f>
        <v/>
      </c>
      <c r="J323" s="25" t="str">
        <f>IFERROR(_xlfn.XLOOKUP($E323,$O$35:$O$43,$T$35:$T$43)*G323/$P$9,"")</f>
        <v/>
      </c>
      <c r="K323" s="25" t="str">
        <f>IF(E323=$O$43,($D323/50-$T$43*$P$9)/$P$9,"")</f>
        <v/>
      </c>
      <c r="L323" s="25" t="str">
        <f>IFERROR(($D323/50-_xlfn.XLOOKUP($H323,$O$48:$O$62,$T$48:$T$62)*$P$14)/$P$9,"")</f>
        <v/>
      </c>
      <c r="M323" s="14">
        <f t="shared" si="4"/>
        <v>0</v>
      </c>
    </row>
    <row r="324" spans="2:13" x14ac:dyDescent="0.25">
      <c r="B324" s="10" t="str">
        <f>IF('Importér data'!C335="type",'Importér data'!F335,"")</f>
        <v/>
      </c>
      <c r="C324" s="10">
        <f>'Importér data'!H335</f>
        <v>0</v>
      </c>
      <c r="D324" s="32" t="str">
        <f>IF('Importér data'!C335="type",'Importér data'!N335,"")</f>
        <v/>
      </c>
      <c r="E324" s="24"/>
      <c r="F324" s="45"/>
      <c r="G324" s="45"/>
      <c r="H324" s="24"/>
      <c r="I324" s="25" t="str">
        <f>IFERROR(($D324/50-_xlfn.XLOOKUP($E324,$O$35:$O$43,$T$35:$T$43)*F324)/$P$9,"")</f>
        <v/>
      </c>
      <c r="J324" s="25" t="str">
        <f>IFERROR(_xlfn.XLOOKUP($E324,$O$35:$O$43,$T$35:$T$43)*G324/$P$9,"")</f>
        <v/>
      </c>
      <c r="K324" s="25" t="str">
        <f>IF(E324=$O$43,($D324/50-$T$43*$P$9)/$P$9,"")</f>
        <v/>
      </c>
      <c r="L324" s="25" t="str">
        <f>IFERROR(($D324/50-_xlfn.XLOOKUP($H324,$O$48:$O$62,$T$48:$T$62)*$P$14)/$P$9,"")</f>
        <v/>
      </c>
      <c r="M324" s="14">
        <f t="shared" si="4"/>
        <v>0</v>
      </c>
    </row>
    <row r="325" spans="2:13" x14ac:dyDescent="0.25">
      <c r="B325" s="10" t="str">
        <f>IF('Importér data'!C336="type",'Importér data'!F336,"")</f>
        <v/>
      </c>
      <c r="C325" s="10">
        <f>'Importér data'!H336</f>
        <v>0</v>
      </c>
      <c r="D325" s="32" t="str">
        <f>IF('Importér data'!C336="type",'Importér data'!N336,"")</f>
        <v/>
      </c>
      <c r="E325" s="24"/>
      <c r="F325" s="45"/>
      <c r="G325" s="45"/>
      <c r="H325" s="24"/>
      <c r="I325" s="25" t="str">
        <f>IFERROR(($D325/50-_xlfn.XLOOKUP($E325,$O$35:$O$43,$T$35:$T$43)*F325)/$P$9,"")</f>
        <v/>
      </c>
      <c r="J325" s="25" t="str">
        <f>IFERROR(_xlfn.XLOOKUP($E325,$O$35:$O$43,$T$35:$T$43)*G325/$P$9,"")</f>
        <v/>
      </c>
      <c r="K325" s="25" t="str">
        <f>IF(E325=$O$43,($D325/50-$T$43*$P$9)/$P$9,"")</f>
        <v/>
      </c>
      <c r="L325" s="25" t="str">
        <f>IFERROR(($D325/50-_xlfn.XLOOKUP($H325,$O$48:$O$62,$T$48:$T$62)*$P$14)/$P$9,"")</f>
        <v/>
      </c>
      <c r="M325" s="14">
        <f t="shared" si="4"/>
        <v>0</v>
      </c>
    </row>
    <row r="326" spans="2:13" x14ac:dyDescent="0.25">
      <c r="B326" s="10" t="str">
        <f>IF('Importér data'!C337="type",'Importér data'!F337,"")</f>
        <v/>
      </c>
      <c r="C326" s="10">
        <f>'Importér data'!H337</f>
        <v>0</v>
      </c>
      <c r="D326" s="32" t="str">
        <f>IF('Importér data'!C337="type",'Importér data'!N337,"")</f>
        <v/>
      </c>
      <c r="E326" s="24"/>
      <c r="F326" s="45"/>
      <c r="G326" s="45"/>
      <c r="H326" s="24"/>
      <c r="I326" s="25" t="str">
        <f>IFERROR(($D326/50-_xlfn.XLOOKUP($E326,$O$35:$O$43,$T$35:$T$43)*F326)/$P$9,"")</f>
        <v/>
      </c>
      <c r="J326" s="25" t="str">
        <f>IFERROR(_xlfn.XLOOKUP($E326,$O$35:$O$43,$T$35:$T$43)*G326/$P$9,"")</f>
        <v/>
      </c>
      <c r="K326" s="25" t="str">
        <f>IF(E326=$O$43,($D326/50-$T$43*$P$9)/$P$9,"")</f>
        <v/>
      </c>
      <c r="L326" s="25" t="str">
        <f>IFERROR(($D326/50-_xlfn.XLOOKUP($H326,$O$48:$O$62,$T$48:$T$62)*$P$14)/$P$9,"")</f>
        <v/>
      </c>
      <c r="M326" s="14">
        <f t="shared" ref="M326:M389" si="5">SUM(I326:L326)</f>
        <v>0</v>
      </c>
    </row>
    <row r="327" spans="2:13" x14ac:dyDescent="0.25">
      <c r="B327" s="10" t="str">
        <f>IF('Importér data'!C338="type",'Importér data'!F338,"")</f>
        <v/>
      </c>
      <c r="C327" s="10">
        <f>'Importér data'!H338</f>
        <v>0</v>
      </c>
      <c r="D327" s="32" t="str">
        <f>IF('Importér data'!C338="type",'Importér data'!N338,"")</f>
        <v/>
      </c>
      <c r="E327" s="24"/>
      <c r="F327" s="45"/>
      <c r="G327" s="45"/>
      <c r="H327" s="24"/>
      <c r="I327" s="25" t="str">
        <f>IFERROR(($D327/50-_xlfn.XLOOKUP($E327,$O$35:$O$43,$T$35:$T$43)*F327)/$P$9,"")</f>
        <v/>
      </c>
      <c r="J327" s="25" t="str">
        <f>IFERROR(_xlfn.XLOOKUP($E327,$O$35:$O$43,$T$35:$T$43)*G327/$P$9,"")</f>
        <v/>
      </c>
      <c r="K327" s="25" t="str">
        <f>IF(E327=$O$43,($D327/50-$T$43*$P$9)/$P$9,"")</f>
        <v/>
      </c>
      <c r="L327" s="25" t="str">
        <f>IFERROR(($D327/50-_xlfn.XLOOKUP($H327,$O$48:$O$62,$T$48:$T$62)*$P$14)/$P$9,"")</f>
        <v/>
      </c>
      <c r="M327" s="14">
        <f t="shared" si="5"/>
        <v>0</v>
      </c>
    </row>
    <row r="328" spans="2:13" x14ac:dyDescent="0.25">
      <c r="B328" s="10" t="str">
        <f>IF('Importér data'!C339="type",'Importér data'!F339,"")</f>
        <v/>
      </c>
      <c r="C328" s="10">
        <f>'Importér data'!H339</f>
        <v>0</v>
      </c>
      <c r="D328" s="32" t="str">
        <f>IF('Importér data'!C339="type",'Importér data'!N339,"")</f>
        <v/>
      </c>
      <c r="E328" s="24"/>
      <c r="F328" s="45"/>
      <c r="G328" s="45"/>
      <c r="H328" s="24"/>
      <c r="I328" s="25" t="str">
        <f>IFERROR(($D328/50-_xlfn.XLOOKUP($E328,$O$35:$O$43,$T$35:$T$43)*F328)/$P$9,"")</f>
        <v/>
      </c>
      <c r="J328" s="25" t="str">
        <f>IFERROR(_xlfn.XLOOKUP($E328,$O$35:$O$43,$T$35:$T$43)*G328/$P$9,"")</f>
        <v/>
      </c>
      <c r="K328" s="25" t="str">
        <f>IF(E328=$O$43,($D328/50-$T$43*$P$9)/$P$9,"")</f>
        <v/>
      </c>
      <c r="L328" s="25" t="str">
        <f>IFERROR(($D328/50-_xlfn.XLOOKUP($H328,$O$48:$O$62,$T$48:$T$62)*$P$14)/$P$9,"")</f>
        <v/>
      </c>
      <c r="M328" s="14">
        <f t="shared" si="5"/>
        <v>0</v>
      </c>
    </row>
    <row r="329" spans="2:13" x14ac:dyDescent="0.25">
      <c r="B329" s="10" t="str">
        <f>IF('Importér data'!C340="type",'Importér data'!F340,"")</f>
        <v/>
      </c>
      <c r="C329" s="10">
        <f>'Importér data'!H340</f>
        <v>0</v>
      </c>
      <c r="D329" s="32" t="str">
        <f>IF('Importér data'!C340="type",'Importér data'!N340,"")</f>
        <v/>
      </c>
      <c r="E329" s="24"/>
      <c r="F329" s="45"/>
      <c r="G329" s="45"/>
      <c r="H329" s="24"/>
      <c r="I329" s="25" t="str">
        <f>IFERROR(($D329/50-_xlfn.XLOOKUP($E329,$O$35:$O$43,$T$35:$T$43)*F329)/$P$9,"")</f>
        <v/>
      </c>
      <c r="J329" s="25" t="str">
        <f>IFERROR(_xlfn.XLOOKUP($E329,$O$35:$O$43,$T$35:$T$43)*G329/$P$9,"")</f>
        <v/>
      </c>
      <c r="K329" s="25" t="str">
        <f>IF(E329=$O$43,($D329/50-$T$43*$P$9)/$P$9,"")</f>
        <v/>
      </c>
      <c r="L329" s="25" t="str">
        <f>IFERROR(($D329/50-_xlfn.XLOOKUP($H329,$O$48:$O$62,$T$48:$T$62)*$P$14)/$P$9,"")</f>
        <v/>
      </c>
      <c r="M329" s="14">
        <f t="shared" si="5"/>
        <v>0</v>
      </c>
    </row>
    <row r="330" spans="2:13" x14ac:dyDescent="0.25">
      <c r="B330" s="10" t="str">
        <f>IF('Importér data'!C341="type",'Importér data'!F341,"")</f>
        <v/>
      </c>
      <c r="C330" s="10">
        <f>'Importér data'!H341</f>
        <v>0</v>
      </c>
      <c r="D330" s="32" t="str">
        <f>IF('Importér data'!C341="type",'Importér data'!N341,"")</f>
        <v/>
      </c>
      <c r="E330" s="24"/>
      <c r="F330" s="45"/>
      <c r="G330" s="45"/>
      <c r="H330" s="24"/>
      <c r="I330" s="25" t="str">
        <f>IFERROR(($D330/50-_xlfn.XLOOKUP($E330,$O$35:$O$43,$T$35:$T$43)*F330)/$P$9,"")</f>
        <v/>
      </c>
      <c r="J330" s="25" t="str">
        <f>IFERROR(_xlfn.XLOOKUP($E330,$O$35:$O$43,$T$35:$T$43)*G330/$P$9,"")</f>
        <v/>
      </c>
      <c r="K330" s="25" t="str">
        <f>IF(E330=$O$43,($D330/50-$T$43*$P$9)/$P$9,"")</f>
        <v/>
      </c>
      <c r="L330" s="25" t="str">
        <f>IFERROR(($D330/50-_xlfn.XLOOKUP($H330,$O$48:$O$62,$T$48:$T$62)*$P$14)/$P$9,"")</f>
        <v/>
      </c>
      <c r="M330" s="14">
        <f t="shared" si="5"/>
        <v>0</v>
      </c>
    </row>
    <row r="331" spans="2:13" x14ac:dyDescent="0.25">
      <c r="B331" s="10" t="str">
        <f>IF('Importér data'!C342="type",'Importér data'!F342,"")</f>
        <v/>
      </c>
      <c r="C331" s="10">
        <f>'Importér data'!H342</f>
        <v>0</v>
      </c>
      <c r="D331" s="32" t="str">
        <f>IF('Importér data'!C342="type",'Importér data'!N342,"")</f>
        <v/>
      </c>
      <c r="E331" s="24"/>
      <c r="F331" s="45"/>
      <c r="G331" s="45"/>
      <c r="H331" s="24"/>
      <c r="I331" s="25" t="str">
        <f>IFERROR(($D331/50-_xlfn.XLOOKUP($E331,$O$35:$O$43,$T$35:$T$43)*F331)/$P$9,"")</f>
        <v/>
      </c>
      <c r="J331" s="25" t="str">
        <f>IFERROR(_xlfn.XLOOKUP($E331,$O$35:$O$43,$T$35:$T$43)*G331/$P$9,"")</f>
        <v/>
      </c>
      <c r="K331" s="25" t="str">
        <f>IF(E331=$O$43,($D331/50-$T$43*$P$9)/$P$9,"")</f>
        <v/>
      </c>
      <c r="L331" s="25" t="str">
        <f>IFERROR(($D331/50-_xlfn.XLOOKUP($H331,$O$48:$O$62,$T$48:$T$62)*$P$14)/$P$9,"")</f>
        <v/>
      </c>
      <c r="M331" s="14">
        <f t="shared" si="5"/>
        <v>0</v>
      </c>
    </row>
    <row r="332" spans="2:13" x14ac:dyDescent="0.25">
      <c r="B332" s="10" t="str">
        <f>IF('Importér data'!C343="type",'Importér data'!F343,"")</f>
        <v/>
      </c>
      <c r="C332" s="10">
        <f>'Importér data'!H343</f>
        <v>0</v>
      </c>
      <c r="D332" s="32" t="str">
        <f>IF('Importér data'!C343="type",'Importér data'!N343,"")</f>
        <v/>
      </c>
      <c r="E332" s="24"/>
      <c r="F332" s="45"/>
      <c r="G332" s="45"/>
      <c r="H332" s="24"/>
      <c r="I332" s="25" t="str">
        <f>IFERROR(($D332/50-_xlfn.XLOOKUP($E332,$O$35:$O$43,$T$35:$T$43)*F332)/$P$9,"")</f>
        <v/>
      </c>
      <c r="J332" s="25" t="str">
        <f>IFERROR(_xlfn.XLOOKUP($E332,$O$35:$O$43,$T$35:$T$43)*G332/$P$9,"")</f>
        <v/>
      </c>
      <c r="K332" s="25" t="str">
        <f>IF(E332=$O$43,($D332/50-$T$43*$P$9)/$P$9,"")</f>
        <v/>
      </c>
      <c r="L332" s="25" t="str">
        <f>IFERROR(($D332/50-_xlfn.XLOOKUP($H332,$O$48:$O$62,$T$48:$T$62)*$P$14)/$P$9,"")</f>
        <v/>
      </c>
      <c r="M332" s="14">
        <f t="shared" si="5"/>
        <v>0</v>
      </c>
    </row>
    <row r="333" spans="2:13" x14ac:dyDescent="0.25">
      <c r="B333" s="10" t="str">
        <f>IF('Importér data'!C344="type",'Importér data'!F344,"")</f>
        <v/>
      </c>
      <c r="C333" s="10">
        <f>'Importér data'!H344</f>
        <v>0</v>
      </c>
      <c r="D333" s="32" t="str">
        <f>IF('Importér data'!C344="type",'Importér data'!N344,"")</f>
        <v/>
      </c>
      <c r="E333" s="24"/>
      <c r="F333" s="45"/>
      <c r="G333" s="45"/>
      <c r="H333" s="24"/>
      <c r="I333" s="25" t="str">
        <f>IFERROR(($D333/50-_xlfn.XLOOKUP($E333,$O$35:$O$43,$T$35:$T$43)*F333)/$P$9,"")</f>
        <v/>
      </c>
      <c r="J333" s="25" t="str">
        <f>IFERROR(_xlfn.XLOOKUP($E333,$O$35:$O$43,$T$35:$T$43)*G333/$P$9,"")</f>
        <v/>
      </c>
      <c r="K333" s="25" t="str">
        <f>IF(E333=$O$43,($D333/50-$T$43*$P$9)/$P$9,"")</f>
        <v/>
      </c>
      <c r="L333" s="25" t="str">
        <f>IFERROR(($D333/50-_xlfn.XLOOKUP($H333,$O$48:$O$62,$T$48:$T$62)*$P$14)/$P$9,"")</f>
        <v/>
      </c>
      <c r="M333" s="14">
        <f t="shared" si="5"/>
        <v>0</v>
      </c>
    </row>
    <row r="334" spans="2:13" x14ac:dyDescent="0.25">
      <c r="B334" s="10" t="str">
        <f>IF('Importér data'!C345="type",'Importér data'!F345,"")</f>
        <v/>
      </c>
      <c r="C334" s="10">
        <f>'Importér data'!H345</f>
        <v>0</v>
      </c>
      <c r="D334" s="32" t="str">
        <f>IF('Importér data'!C345="type",'Importér data'!N345,"")</f>
        <v/>
      </c>
      <c r="E334" s="24"/>
      <c r="F334" s="45"/>
      <c r="G334" s="45"/>
      <c r="H334" s="24"/>
      <c r="I334" s="25" t="str">
        <f>IFERROR(($D334/50-_xlfn.XLOOKUP($E334,$O$35:$O$43,$T$35:$T$43)*F334)/$P$9,"")</f>
        <v/>
      </c>
      <c r="J334" s="25" t="str">
        <f>IFERROR(_xlfn.XLOOKUP($E334,$O$35:$O$43,$T$35:$T$43)*G334/$P$9,"")</f>
        <v/>
      </c>
      <c r="K334" s="25" t="str">
        <f>IF(E334=$O$43,($D334/50-$T$43*$P$9)/$P$9,"")</f>
        <v/>
      </c>
      <c r="L334" s="25" t="str">
        <f>IFERROR(($D334/50-_xlfn.XLOOKUP($H334,$O$48:$O$62,$T$48:$T$62)*$P$14)/$P$9,"")</f>
        <v/>
      </c>
      <c r="M334" s="14">
        <f t="shared" si="5"/>
        <v>0</v>
      </c>
    </row>
    <row r="335" spans="2:13" x14ac:dyDescent="0.25">
      <c r="B335" s="10" t="str">
        <f>IF('Importér data'!C346="type",'Importér data'!F346,"")</f>
        <v/>
      </c>
      <c r="C335" s="10">
        <f>'Importér data'!H346</f>
        <v>0</v>
      </c>
      <c r="D335" s="32" t="str">
        <f>IF('Importér data'!C346="type",'Importér data'!N346,"")</f>
        <v/>
      </c>
      <c r="E335" s="24"/>
      <c r="F335" s="45"/>
      <c r="G335" s="45"/>
      <c r="H335" s="24"/>
      <c r="I335" s="25" t="str">
        <f>IFERROR(($D335/50-_xlfn.XLOOKUP($E335,$O$35:$O$43,$T$35:$T$43)*F335)/$P$9,"")</f>
        <v/>
      </c>
      <c r="J335" s="25" t="str">
        <f>IFERROR(_xlfn.XLOOKUP($E335,$O$35:$O$43,$T$35:$T$43)*G335/$P$9,"")</f>
        <v/>
      </c>
      <c r="K335" s="25" t="str">
        <f>IF(E335=$O$43,($D335/50-$T$43*$P$9)/$P$9,"")</f>
        <v/>
      </c>
      <c r="L335" s="25" t="str">
        <f>IFERROR(($D335/50-_xlfn.XLOOKUP($H335,$O$48:$O$62,$T$48:$T$62)*$P$14)/$P$9,"")</f>
        <v/>
      </c>
      <c r="M335" s="14">
        <f t="shared" si="5"/>
        <v>0</v>
      </c>
    </row>
    <row r="336" spans="2:13" x14ac:dyDescent="0.25">
      <c r="B336" s="10" t="str">
        <f>IF('Importér data'!C347="type",'Importér data'!F347,"")</f>
        <v/>
      </c>
      <c r="C336" s="10">
        <f>'Importér data'!H347</f>
        <v>0</v>
      </c>
      <c r="D336" s="32" t="str">
        <f>IF('Importér data'!C347="type",'Importér data'!N347,"")</f>
        <v/>
      </c>
      <c r="E336" s="24"/>
      <c r="F336" s="45"/>
      <c r="G336" s="45"/>
      <c r="H336" s="24"/>
      <c r="I336" s="25" t="str">
        <f>IFERROR(($D336/50-_xlfn.XLOOKUP($E336,$O$35:$O$43,$T$35:$T$43)*F336)/$P$9,"")</f>
        <v/>
      </c>
      <c r="J336" s="25" t="str">
        <f>IFERROR(_xlfn.XLOOKUP($E336,$O$35:$O$43,$T$35:$T$43)*G336/$P$9,"")</f>
        <v/>
      </c>
      <c r="K336" s="25" t="str">
        <f>IF(E336=$O$43,($D336/50-$T$43*$P$9)/$P$9,"")</f>
        <v/>
      </c>
      <c r="L336" s="25" t="str">
        <f>IFERROR(($D336/50-_xlfn.XLOOKUP($H336,$O$48:$O$62,$T$48:$T$62)*$P$14)/$P$9,"")</f>
        <v/>
      </c>
      <c r="M336" s="14">
        <f t="shared" si="5"/>
        <v>0</v>
      </c>
    </row>
    <row r="337" spans="2:13" x14ac:dyDescent="0.25">
      <c r="B337" s="10" t="str">
        <f>IF('Importér data'!C348="type",'Importér data'!F348,"")</f>
        <v/>
      </c>
      <c r="C337" s="10">
        <f>'Importér data'!H348</f>
        <v>0</v>
      </c>
      <c r="D337" s="32" t="str">
        <f>IF('Importér data'!C348="type",'Importér data'!N348,"")</f>
        <v/>
      </c>
      <c r="E337" s="24"/>
      <c r="F337" s="45"/>
      <c r="G337" s="45"/>
      <c r="H337" s="24"/>
      <c r="I337" s="25" t="str">
        <f>IFERROR(($D337/50-_xlfn.XLOOKUP($E337,$O$35:$O$43,$T$35:$T$43)*F337)/$P$9,"")</f>
        <v/>
      </c>
      <c r="J337" s="25" t="str">
        <f>IFERROR(_xlfn.XLOOKUP($E337,$O$35:$O$43,$T$35:$T$43)*G337/$P$9,"")</f>
        <v/>
      </c>
      <c r="K337" s="25" t="str">
        <f>IF(E337=$O$43,($D337/50-$T$43*$P$9)/$P$9,"")</f>
        <v/>
      </c>
      <c r="L337" s="25" t="str">
        <f>IFERROR(($D337/50-_xlfn.XLOOKUP($H337,$O$48:$O$62,$T$48:$T$62)*$P$14)/$P$9,"")</f>
        <v/>
      </c>
      <c r="M337" s="14">
        <f t="shared" si="5"/>
        <v>0</v>
      </c>
    </row>
    <row r="338" spans="2:13" x14ac:dyDescent="0.25">
      <c r="B338" s="10" t="str">
        <f>IF('Importér data'!C349="type",'Importér data'!F349,"")</f>
        <v/>
      </c>
      <c r="C338" s="10">
        <f>'Importér data'!H349</f>
        <v>0</v>
      </c>
      <c r="D338" s="32" t="str">
        <f>IF('Importér data'!C349="type",'Importér data'!N349,"")</f>
        <v/>
      </c>
      <c r="E338" s="24"/>
      <c r="F338" s="45"/>
      <c r="G338" s="45"/>
      <c r="H338" s="24"/>
      <c r="I338" s="25" t="str">
        <f>IFERROR(($D338/50-_xlfn.XLOOKUP($E338,$O$35:$O$43,$T$35:$T$43)*F338)/$P$9,"")</f>
        <v/>
      </c>
      <c r="J338" s="25" t="str">
        <f>IFERROR(_xlfn.XLOOKUP($E338,$O$35:$O$43,$T$35:$T$43)*G338/$P$9,"")</f>
        <v/>
      </c>
      <c r="K338" s="25" t="str">
        <f>IF(E338=$O$43,($D338/50-$T$43*$P$9)/$P$9,"")</f>
        <v/>
      </c>
      <c r="L338" s="25" t="str">
        <f>IFERROR(($D338/50-_xlfn.XLOOKUP($H338,$O$48:$O$62,$T$48:$T$62)*$P$14)/$P$9,"")</f>
        <v/>
      </c>
      <c r="M338" s="14">
        <f t="shared" si="5"/>
        <v>0</v>
      </c>
    </row>
    <row r="339" spans="2:13" x14ac:dyDescent="0.25">
      <c r="B339" s="10" t="str">
        <f>IF('Importér data'!C350="type",'Importér data'!F350,"")</f>
        <v/>
      </c>
      <c r="C339" s="10">
        <f>'Importér data'!H350</f>
        <v>0</v>
      </c>
      <c r="D339" s="32" t="str">
        <f>IF('Importér data'!C350="type",'Importér data'!N350,"")</f>
        <v/>
      </c>
      <c r="E339" s="24"/>
      <c r="F339" s="45"/>
      <c r="G339" s="45"/>
      <c r="H339" s="24"/>
      <c r="I339" s="25" t="str">
        <f>IFERROR(($D339/50-_xlfn.XLOOKUP($E339,$O$35:$O$43,$T$35:$T$43)*F339)/$P$9,"")</f>
        <v/>
      </c>
      <c r="J339" s="25" t="str">
        <f>IFERROR(_xlfn.XLOOKUP($E339,$O$35:$O$43,$T$35:$T$43)*G339/$P$9,"")</f>
        <v/>
      </c>
      <c r="K339" s="25" t="str">
        <f>IF(E339=$O$43,($D339/50-$T$43*$P$9)/$P$9,"")</f>
        <v/>
      </c>
      <c r="L339" s="25" t="str">
        <f>IFERROR(($D339/50-_xlfn.XLOOKUP($H339,$O$48:$O$62,$T$48:$T$62)*$P$14)/$P$9,"")</f>
        <v/>
      </c>
      <c r="M339" s="14">
        <f t="shared" si="5"/>
        <v>0</v>
      </c>
    </row>
    <row r="340" spans="2:13" x14ac:dyDescent="0.25">
      <c r="B340" s="10" t="str">
        <f>IF('Importér data'!C351="type",'Importér data'!F351,"")</f>
        <v/>
      </c>
      <c r="C340" s="10">
        <f>'Importér data'!H351</f>
        <v>0</v>
      </c>
      <c r="D340" s="32" t="str">
        <f>IF('Importér data'!C351="type",'Importér data'!N351,"")</f>
        <v/>
      </c>
      <c r="E340" s="24"/>
      <c r="F340" s="45"/>
      <c r="G340" s="45"/>
      <c r="H340" s="24"/>
      <c r="I340" s="25" t="str">
        <f>IFERROR(($D340/50-_xlfn.XLOOKUP($E340,$O$35:$O$43,$T$35:$T$43)*F340)/$P$9,"")</f>
        <v/>
      </c>
      <c r="J340" s="25" t="str">
        <f>IFERROR(_xlfn.XLOOKUP($E340,$O$35:$O$43,$T$35:$T$43)*G340/$P$9,"")</f>
        <v/>
      </c>
      <c r="K340" s="25" t="str">
        <f>IF(E340=$O$43,($D340/50-$T$43*$P$9)/$P$9,"")</f>
        <v/>
      </c>
      <c r="L340" s="25" t="str">
        <f>IFERROR(($D340/50-_xlfn.XLOOKUP($H340,$O$48:$O$62,$T$48:$T$62)*$P$14)/$P$9,"")</f>
        <v/>
      </c>
      <c r="M340" s="14">
        <f t="shared" si="5"/>
        <v>0</v>
      </c>
    </row>
    <row r="341" spans="2:13" x14ac:dyDescent="0.25">
      <c r="B341" s="10" t="str">
        <f>IF('Importér data'!C352="type",'Importér data'!F352,"")</f>
        <v/>
      </c>
      <c r="C341" s="10">
        <f>'Importér data'!H352</f>
        <v>0</v>
      </c>
      <c r="D341" s="32" t="str">
        <f>IF('Importér data'!C352="type",'Importér data'!N352,"")</f>
        <v/>
      </c>
      <c r="E341" s="24"/>
      <c r="F341" s="45"/>
      <c r="G341" s="45"/>
      <c r="H341" s="24"/>
      <c r="I341" s="25" t="str">
        <f>IFERROR(($D341/50-_xlfn.XLOOKUP($E341,$O$35:$O$43,$T$35:$T$43)*F341)/$P$9,"")</f>
        <v/>
      </c>
      <c r="J341" s="25" t="str">
        <f>IFERROR(_xlfn.XLOOKUP($E341,$O$35:$O$43,$T$35:$T$43)*G341/$P$9,"")</f>
        <v/>
      </c>
      <c r="K341" s="25" t="str">
        <f>IF(E341=$O$43,($D341/50-$T$43*$P$9)/$P$9,"")</f>
        <v/>
      </c>
      <c r="L341" s="25" t="str">
        <f>IFERROR(($D341/50-_xlfn.XLOOKUP($H341,$O$48:$O$62,$T$48:$T$62)*$P$14)/$P$9,"")</f>
        <v/>
      </c>
      <c r="M341" s="14">
        <f t="shared" si="5"/>
        <v>0</v>
      </c>
    </row>
    <row r="342" spans="2:13" x14ac:dyDescent="0.25">
      <c r="B342" s="10" t="str">
        <f>IF('Importér data'!C353="type",'Importér data'!F353,"")</f>
        <v/>
      </c>
      <c r="C342" s="10">
        <f>'Importér data'!H353</f>
        <v>0</v>
      </c>
      <c r="D342" s="32" t="str">
        <f>IF('Importér data'!C353="type",'Importér data'!N353,"")</f>
        <v/>
      </c>
      <c r="E342" s="24"/>
      <c r="F342" s="45"/>
      <c r="G342" s="45"/>
      <c r="H342" s="24"/>
      <c r="I342" s="25" t="str">
        <f>IFERROR(($D342/50-_xlfn.XLOOKUP($E342,$O$35:$O$43,$T$35:$T$43)*F342)/$P$9,"")</f>
        <v/>
      </c>
      <c r="J342" s="25" t="str">
        <f>IFERROR(_xlfn.XLOOKUP($E342,$O$35:$O$43,$T$35:$T$43)*G342/$P$9,"")</f>
        <v/>
      </c>
      <c r="K342" s="25" t="str">
        <f>IF(E342=$O$43,($D342/50-$T$43*$P$9)/$P$9,"")</f>
        <v/>
      </c>
      <c r="L342" s="25" t="str">
        <f>IFERROR(($D342/50-_xlfn.XLOOKUP($H342,$O$48:$O$62,$T$48:$T$62)*$P$14)/$P$9,"")</f>
        <v/>
      </c>
      <c r="M342" s="14">
        <f t="shared" si="5"/>
        <v>0</v>
      </c>
    </row>
    <row r="343" spans="2:13" x14ac:dyDescent="0.25">
      <c r="B343" s="10" t="str">
        <f>IF('Importér data'!C354="type",'Importér data'!F354,"")</f>
        <v/>
      </c>
      <c r="C343" s="10">
        <f>'Importér data'!H354</f>
        <v>0</v>
      </c>
      <c r="D343" s="32" t="str">
        <f>IF('Importér data'!C354="type",'Importér data'!N354,"")</f>
        <v/>
      </c>
      <c r="E343" s="24"/>
      <c r="F343" s="45"/>
      <c r="G343" s="45"/>
      <c r="H343" s="24"/>
      <c r="I343" s="25" t="str">
        <f>IFERROR(($D343/50-_xlfn.XLOOKUP($E343,$O$35:$O$43,$T$35:$T$43)*F343)/$P$9,"")</f>
        <v/>
      </c>
      <c r="J343" s="25" t="str">
        <f>IFERROR(_xlfn.XLOOKUP($E343,$O$35:$O$43,$T$35:$T$43)*G343/$P$9,"")</f>
        <v/>
      </c>
      <c r="K343" s="25" t="str">
        <f>IF(E343=$O$43,($D343/50-$T$43*$P$9)/$P$9,"")</f>
        <v/>
      </c>
      <c r="L343" s="25" t="str">
        <f>IFERROR(($D343/50-_xlfn.XLOOKUP($H343,$O$48:$O$62,$T$48:$T$62)*$P$14)/$P$9,"")</f>
        <v/>
      </c>
      <c r="M343" s="14">
        <f t="shared" si="5"/>
        <v>0</v>
      </c>
    </row>
    <row r="344" spans="2:13" x14ac:dyDescent="0.25">
      <c r="B344" s="10" t="str">
        <f>IF('Importér data'!C355="type",'Importér data'!F355,"")</f>
        <v/>
      </c>
      <c r="C344" s="10">
        <f>'Importér data'!H355</f>
        <v>0</v>
      </c>
      <c r="D344" s="32" t="str">
        <f>IF('Importér data'!C355="type",'Importér data'!N355,"")</f>
        <v/>
      </c>
      <c r="E344" s="24"/>
      <c r="F344" s="45"/>
      <c r="G344" s="45"/>
      <c r="H344" s="24"/>
      <c r="I344" s="25" t="str">
        <f>IFERROR(($D344/50-_xlfn.XLOOKUP($E344,$O$35:$O$43,$T$35:$T$43)*F344)/$P$9,"")</f>
        <v/>
      </c>
      <c r="J344" s="25" t="str">
        <f>IFERROR(_xlfn.XLOOKUP($E344,$O$35:$O$43,$T$35:$T$43)*G344/$P$9,"")</f>
        <v/>
      </c>
      <c r="K344" s="25" t="str">
        <f>IF(E344=$O$43,($D344/50-$T$43*$P$9)/$P$9,"")</f>
        <v/>
      </c>
      <c r="L344" s="25" t="str">
        <f>IFERROR(($D344/50-_xlfn.XLOOKUP($H344,$O$48:$O$62,$T$48:$T$62)*$P$14)/$P$9,"")</f>
        <v/>
      </c>
      <c r="M344" s="14">
        <f t="shared" si="5"/>
        <v>0</v>
      </c>
    </row>
    <row r="345" spans="2:13" x14ac:dyDescent="0.25">
      <c r="B345" s="10" t="str">
        <f>IF('Importér data'!C356="type",'Importér data'!F356,"")</f>
        <v/>
      </c>
      <c r="C345" s="10">
        <f>'Importér data'!H356</f>
        <v>0</v>
      </c>
      <c r="D345" s="32" t="str">
        <f>IF('Importér data'!C356="type",'Importér data'!N356,"")</f>
        <v/>
      </c>
      <c r="E345" s="24"/>
      <c r="F345" s="45"/>
      <c r="G345" s="45"/>
      <c r="H345" s="24"/>
      <c r="I345" s="25" t="str">
        <f>IFERROR(($D345/50-_xlfn.XLOOKUP($E345,$O$35:$O$43,$T$35:$T$43)*F345)/$P$9,"")</f>
        <v/>
      </c>
      <c r="J345" s="25" t="str">
        <f>IFERROR(_xlfn.XLOOKUP($E345,$O$35:$O$43,$T$35:$T$43)*G345/$P$9,"")</f>
        <v/>
      </c>
      <c r="K345" s="25" t="str">
        <f>IF(E345=$O$43,($D345/50-$T$43*$P$9)/$P$9,"")</f>
        <v/>
      </c>
      <c r="L345" s="25" t="str">
        <f>IFERROR(($D345/50-_xlfn.XLOOKUP($H345,$O$48:$O$62,$T$48:$T$62)*$P$14)/$P$9,"")</f>
        <v/>
      </c>
      <c r="M345" s="14">
        <f t="shared" si="5"/>
        <v>0</v>
      </c>
    </row>
    <row r="346" spans="2:13" x14ac:dyDescent="0.25">
      <c r="B346" s="10" t="str">
        <f>IF('Importér data'!C357="type",'Importér data'!F357,"")</f>
        <v/>
      </c>
      <c r="C346" s="10">
        <f>'Importér data'!H357</f>
        <v>0</v>
      </c>
      <c r="D346" s="32" t="str">
        <f>IF('Importér data'!C357="type",'Importér data'!N357,"")</f>
        <v/>
      </c>
      <c r="E346" s="24"/>
      <c r="F346" s="45"/>
      <c r="G346" s="45"/>
      <c r="H346" s="24"/>
      <c r="I346" s="25" t="str">
        <f>IFERROR(($D346/50-_xlfn.XLOOKUP($E346,$O$35:$O$43,$T$35:$T$43)*F346)/$P$9,"")</f>
        <v/>
      </c>
      <c r="J346" s="25" t="str">
        <f>IFERROR(_xlfn.XLOOKUP($E346,$O$35:$O$43,$T$35:$T$43)*G346/$P$9,"")</f>
        <v/>
      </c>
      <c r="K346" s="25" t="str">
        <f>IF(E346=$O$43,($D346/50-$T$43*$P$9)/$P$9,"")</f>
        <v/>
      </c>
      <c r="L346" s="25" t="str">
        <f>IFERROR(($D346/50-_xlfn.XLOOKUP($H346,$O$48:$O$62,$T$48:$T$62)*$P$14)/$P$9,"")</f>
        <v/>
      </c>
      <c r="M346" s="14">
        <f t="shared" si="5"/>
        <v>0</v>
      </c>
    </row>
    <row r="347" spans="2:13" x14ac:dyDescent="0.25">
      <c r="B347" s="10" t="str">
        <f>IF('Importér data'!C358="type",'Importér data'!F358,"")</f>
        <v/>
      </c>
      <c r="C347" s="10">
        <f>'Importér data'!H358</f>
        <v>0</v>
      </c>
      <c r="D347" s="32" t="str">
        <f>IF('Importér data'!C358="type",'Importér data'!N358,"")</f>
        <v/>
      </c>
      <c r="E347" s="24"/>
      <c r="F347" s="45"/>
      <c r="G347" s="45"/>
      <c r="H347" s="24"/>
      <c r="I347" s="25" t="str">
        <f>IFERROR(($D347/50-_xlfn.XLOOKUP($E347,$O$35:$O$43,$T$35:$T$43)*F347)/$P$9,"")</f>
        <v/>
      </c>
      <c r="J347" s="25" t="str">
        <f>IFERROR(_xlfn.XLOOKUP($E347,$O$35:$O$43,$T$35:$T$43)*G347/$P$9,"")</f>
        <v/>
      </c>
      <c r="K347" s="25" t="str">
        <f>IF(E347=$O$43,($D347/50-$T$43*$P$9)/$P$9,"")</f>
        <v/>
      </c>
      <c r="L347" s="25" t="str">
        <f>IFERROR(($D347/50-_xlfn.XLOOKUP($H347,$O$48:$O$62,$T$48:$T$62)*$P$14)/$P$9,"")</f>
        <v/>
      </c>
      <c r="M347" s="14">
        <f t="shared" si="5"/>
        <v>0</v>
      </c>
    </row>
    <row r="348" spans="2:13" x14ac:dyDescent="0.25">
      <c r="B348" s="10" t="str">
        <f>IF('Importér data'!C359="type",'Importér data'!F359,"")</f>
        <v/>
      </c>
      <c r="C348" s="10">
        <f>'Importér data'!H359</f>
        <v>0</v>
      </c>
      <c r="D348" s="32" t="str">
        <f>IF('Importér data'!C359="type",'Importér data'!N359,"")</f>
        <v/>
      </c>
      <c r="E348" s="24"/>
      <c r="F348" s="45"/>
      <c r="G348" s="45"/>
      <c r="H348" s="24"/>
      <c r="I348" s="25" t="str">
        <f>IFERROR(($D348/50-_xlfn.XLOOKUP($E348,$O$35:$O$43,$T$35:$T$43)*F348)/$P$9,"")</f>
        <v/>
      </c>
      <c r="J348" s="25" t="str">
        <f>IFERROR(_xlfn.XLOOKUP($E348,$O$35:$O$43,$T$35:$T$43)*G348/$P$9,"")</f>
        <v/>
      </c>
      <c r="K348" s="25" t="str">
        <f>IF(E348=$O$43,($D348/50-$T$43*$P$9)/$P$9,"")</f>
        <v/>
      </c>
      <c r="L348" s="25" t="str">
        <f>IFERROR(($D348/50-_xlfn.XLOOKUP($H348,$O$48:$O$62,$T$48:$T$62)*$P$14)/$P$9,"")</f>
        <v/>
      </c>
      <c r="M348" s="14">
        <f t="shared" si="5"/>
        <v>0</v>
      </c>
    </row>
    <row r="349" spans="2:13" x14ac:dyDescent="0.25">
      <c r="B349" s="10" t="str">
        <f>IF('Importér data'!C360="type",'Importér data'!F360,"")</f>
        <v/>
      </c>
      <c r="C349" s="10">
        <f>'Importér data'!H360</f>
        <v>0</v>
      </c>
      <c r="D349" s="32" t="str">
        <f>IF('Importér data'!C360="type",'Importér data'!N360,"")</f>
        <v/>
      </c>
      <c r="E349" s="24"/>
      <c r="F349" s="45"/>
      <c r="G349" s="45"/>
      <c r="H349" s="24"/>
      <c r="I349" s="25" t="str">
        <f>IFERROR(($D349/50-_xlfn.XLOOKUP($E349,$O$35:$O$43,$T$35:$T$43)*F349)/$P$9,"")</f>
        <v/>
      </c>
      <c r="J349" s="25" t="str">
        <f>IFERROR(_xlfn.XLOOKUP($E349,$O$35:$O$43,$T$35:$T$43)*G349/$P$9,"")</f>
        <v/>
      </c>
      <c r="K349" s="25" t="str">
        <f>IF(E349=$O$43,($D349/50-$T$43*$P$9)/$P$9,"")</f>
        <v/>
      </c>
      <c r="L349" s="25" t="str">
        <f>IFERROR(($D349/50-_xlfn.XLOOKUP($H349,$O$48:$O$62,$T$48:$T$62)*$P$14)/$P$9,"")</f>
        <v/>
      </c>
      <c r="M349" s="14">
        <f t="shared" si="5"/>
        <v>0</v>
      </c>
    </row>
    <row r="350" spans="2:13" x14ac:dyDescent="0.25">
      <c r="B350" s="10" t="str">
        <f>IF('Importér data'!C361="type",'Importér data'!F361,"")</f>
        <v/>
      </c>
      <c r="C350" s="10">
        <f>'Importér data'!H361</f>
        <v>0</v>
      </c>
      <c r="D350" s="32" t="str">
        <f>IF('Importér data'!C361="type",'Importér data'!N361,"")</f>
        <v/>
      </c>
      <c r="E350" s="24"/>
      <c r="F350" s="45"/>
      <c r="G350" s="45"/>
      <c r="H350" s="24"/>
      <c r="I350" s="25" t="str">
        <f>IFERROR(($D350/50-_xlfn.XLOOKUP($E350,$O$35:$O$43,$T$35:$T$43)*F350)/$P$9,"")</f>
        <v/>
      </c>
      <c r="J350" s="25" t="str">
        <f>IFERROR(_xlfn.XLOOKUP($E350,$O$35:$O$43,$T$35:$T$43)*G350/$P$9,"")</f>
        <v/>
      </c>
      <c r="K350" s="25" t="str">
        <f>IF(E350=$O$43,($D350/50-$T$43*$P$9)/$P$9,"")</f>
        <v/>
      </c>
      <c r="L350" s="25" t="str">
        <f>IFERROR(($D350/50-_xlfn.XLOOKUP($H350,$O$48:$O$62,$T$48:$T$62)*$P$14)/$P$9,"")</f>
        <v/>
      </c>
      <c r="M350" s="14">
        <f t="shared" si="5"/>
        <v>0</v>
      </c>
    </row>
    <row r="351" spans="2:13" x14ac:dyDescent="0.25">
      <c r="B351" s="10" t="str">
        <f>IF('Importér data'!C362="type",'Importér data'!F362,"")</f>
        <v/>
      </c>
      <c r="C351" s="10">
        <f>'Importér data'!H362</f>
        <v>0</v>
      </c>
      <c r="D351" s="32" t="str">
        <f>IF('Importér data'!C362="type",'Importér data'!N362,"")</f>
        <v/>
      </c>
      <c r="E351" s="24"/>
      <c r="F351" s="45"/>
      <c r="G351" s="45"/>
      <c r="H351" s="24"/>
      <c r="I351" s="25" t="str">
        <f>IFERROR(($D351/50-_xlfn.XLOOKUP($E351,$O$35:$O$43,$T$35:$T$43)*F351)/$P$9,"")</f>
        <v/>
      </c>
      <c r="J351" s="25" t="str">
        <f>IFERROR(_xlfn.XLOOKUP($E351,$O$35:$O$43,$T$35:$T$43)*G351/$P$9,"")</f>
        <v/>
      </c>
      <c r="K351" s="25" t="str">
        <f>IF(E351=$O$43,($D351/50-$T$43*$P$9)/$P$9,"")</f>
        <v/>
      </c>
      <c r="L351" s="25" t="str">
        <f>IFERROR(($D351/50-_xlfn.XLOOKUP($H351,$O$48:$O$62,$T$48:$T$62)*$P$14)/$P$9,"")</f>
        <v/>
      </c>
      <c r="M351" s="14">
        <f t="shared" si="5"/>
        <v>0</v>
      </c>
    </row>
    <row r="352" spans="2:13" x14ac:dyDescent="0.25">
      <c r="B352" s="10" t="str">
        <f>IF('Importér data'!C363="type",'Importér data'!F363,"")</f>
        <v/>
      </c>
      <c r="C352" s="10">
        <f>'Importér data'!H363</f>
        <v>0</v>
      </c>
      <c r="D352" s="32" t="str">
        <f>IF('Importér data'!C363="type",'Importér data'!N363,"")</f>
        <v/>
      </c>
      <c r="E352" s="24"/>
      <c r="F352" s="45"/>
      <c r="G352" s="45"/>
      <c r="H352" s="24"/>
      <c r="I352" s="25" t="str">
        <f>IFERROR(($D352/50-_xlfn.XLOOKUP($E352,$O$35:$O$43,$T$35:$T$43)*F352)/$P$9,"")</f>
        <v/>
      </c>
      <c r="J352" s="25" t="str">
        <f>IFERROR(_xlfn.XLOOKUP($E352,$O$35:$O$43,$T$35:$T$43)*G352/$P$9,"")</f>
        <v/>
      </c>
      <c r="K352" s="25" t="str">
        <f>IF(E352=$O$43,($D352/50-$T$43*$P$9)/$P$9,"")</f>
        <v/>
      </c>
      <c r="L352" s="25" t="str">
        <f>IFERROR(($D352/50-_xlfn.XLOOKUP($H352,$O$48:$O$62,$T$48:$T$62)*$P$14)/$P$9,"")</f>
        <v/>
      </c>
      <c r="M352" s="14">
        <f t="shared" si="5"/>
        <v>0</v>
      </c>
    </row>
    <row r="353" spans="2:13" x14ac:dyDescent="0.25">
      <c r="B353" s="10" t="str">
        <f>IF('Importér data'!C364="type",'Importér data'!F364,"")</f>
        <v/>
      </c>
      <c r="C353" s="10">
        <f>'Importér data'!H364</f>
        <v>0</v>
      </c>
      <c r="D353" s="32" t="str">
        <f>IF('Importér data'!C364="type",'Importér data'!N364,"")</f>
        <v/>
      </c>
      <c r="E353" s="24"/>
      <c r="F353" s="45"/>
      <c r="G353" s="45"/>
      <c r="H353" s="24"/>
      <c r="I353" s="25" t="str">
        <f>IFERROR(($D353/50-_xlfn.XLOOKUP($E353,$O$35:$O$43,$T$35:$T$43)*F353)/$P$9,"")</f>
        <v/>
      </c>
      <c r="J353" s="25" t="str">
        <f>IFERROR(_xlfn.XLOOKUP($E353,$O$35:$O$43,$T$35:$T$43)*G353/$P$9,"")</f>
        <v/>
      </c>
      <c r="K353" s="25" t="str">
        <f>IF(E353=$O$43,($D353/50-$T$43*$P$9)/$P$9,"")</f>
        <v/>
      </c>
      <c r="L353" s="25" t="str">
        <f>IFERROR(($D353/50-_xlfn.XLOOKUP($H353,$O$48:$O$62,$T$48:$T$62)*$P$14)/$P$9,"")</f>
        <v/>
      </c>
      <c r="M353" s="14">
        <f t="shared" si="5"/>
        <v>0</v>
      </c>
    </row>
    <row r="354" spans="2:13" x14ac:dyDescent="0.25">
      <c r="B354" s="10" t="str">
        <f>IF('Importér data'!C365="type",'Importér data'!F365,"")</f>
        <v/>
      </c>
      <c r="C354" s="10">
        <f>'Importér data'!H365</f>
        <v>0</v>
      </c>
      <c r="D354" s="32" t="str">
        <f>IF('Importér data'!C365="type",'Importér data'!N365,"")</f>
        <v/>
      </c>
      <c r="E354" s="24"/>
      <c r="F354" s="45"/>
      <c r="G354" s="45"/>
      <c r="H354" s="24"/>
      <c r="I354" s="25" t="str">
        <f>IFERROR(($D354/50-_xlfn.XLOOKUP($E354,$O$35:$O$43,$T$35:$T$43)*F354)/$P$9,"")</f>
        <v/>
      </c>
      <c r="J354" s="25" t="str">
        <f>IFERROR(_xlfn.XLOOKUP($E354,$O$35:$O$43,$T$35:$T$43)*G354/$P$9,"")</f>
        <v/>
      </c>
      <c r="K354" s="25" t="str">
        <f>IF(E354=$O$43,($D354/50-$T$43*$P$9)/$P$9,"")</f>
        <v/>
      </c>
      <c r="L354" s="25" t="str">
        <f>IFERROR(($D354/50-_xlfn.XLOOKUP($H354,$O$48:$O$62,$T$48:$T$62)*$P$14)/$P$9,"")</f>
        <v/>
      </c>
      <c r="M354" s="14">
        <f t="shared" si="5"/>
        <v>0</v>
      </c>
    </row>
    <row r="355" spans="2:13" x14ac:dyDescent="0.25">
      <c r="B355" s="10" t="str">
        <f>IF('Importér data'!C366="type",'Importér data'!F366,"")</f>
        <v/>
      </c>
      <c r="C355" s="10">
        <f>'Importér data'!H366</f>
        <v>0</v>
      </c>
      <c r="D355" s="32" t="str">
        <f>IF('Importér data'!C366="type",'Importér data'!N366,"")</f>
        <v/>
      </c>
      <c r="E355" s="24"/>
      <c r="F355" s="45"/>
      <c r="G355" s="45"/>
      <c r="H355" s="24"/>
      <c r="I355" s="25" t="str">
        <f>IFERROR(($D355/50-_xlfn.XLOOKUP($E355,$O$35:$O$43,$T$35:$T$43)*F355)/$P$9,"")</f>
        <v/>
      </c>
      <c r="J355" s="25" t="str">
        <f>IFERROR(_xlfn.XLOOKUP($E355,$O$35:$O$43,$T$35:$T$43)*G355/$P$9,"")</f>
        <v/>
      </c>
      <c r="K355" s="25" t="str">
        <f>IF(E355=$O$43,($D355/50-$T$43*$P$9)/$P$9,"")</f>
        <v/>
      </c>
      <c r="L355" s="25" t="str">
        <f>IFERROR(($D355/50-_xlfn.XLOOKUP($H355,$O$48:$O$62,$T$48:$T$62)*$P$14)/$P$9,"")</f>
        <v/>
      </c>
      <c r="M355" s="14">
        <f t="shared" si="5"/>
        <v>0</v>
      </c>
    </row>
    <row r="356" spans="2:13" x14ac:dyDescent="0.25">
      <c r="B356" s="10" t="str">
        <f>IF('Importér data'!C367="type",'Importér data'!F367,"")</f>
        <v/>
      </c>
      <c r="C356" s="10">
        <f>'Importér data'!H367</f>
        <v>0</v>
      </c>
      <c r="D356" s="32" t="str">
        <f>IF('Importér data'!C367="type",'Importér data'!N367,"")</f>
        <v/>
      </c>
      <c r="E356" s="24"/>
      <c r="F356" s="45"/>
      <c r="G356" s="45"/>
      <c r="H356" s="24"/>
      <c r="I356" s="25" t="str">
        <f>IFERROR(($D356/50-_xlfn.XLOOKUP($E356,$O$35:$O$43,$T$35:$T$43)*F356)/$P$9,"")</f>
        <v/>
      </c>
      <c r="J356" s="25" t="str">
        <f>IFERROR(_xlfn.XLOOKUP($E356,$O$35:$O$43,$T$35:$T$43)*G356/$P$9,"")</f>
        <v/>
      </c>
      <c r="K356" s="25" t="str">
        <f>IF(E356=$O$43,($D356/50-$T$43*$P$9)/$P$9,"")</f>
        <v/>
      </c>
      <c r="L356" s="25" t="str">
        <f>IFERROR(($D356/50-_xlfn.XLOOKUP($H356,$O$48:$O$62,$T$48:$T$62)*$P$14)/$P$9,"")</f>
        <v/>
      </c>
      <c r="M356" s="14">
        <f t="shared" si="5"/>
        <v>0</v>
      </c>
    </row>
    <row r="357" spans="2:13" x14ac:dyDescent="0.25">
      <c r="B357" s="10" t="str">
        <f>IF('Importér data'!C368="type",'Importér data'!F368,"")</f>
        <v/>
      </c>
      <c r="C357" s="10">
        <f>'Importér data'!H368</f>
        <v>0</v>
      </c>
      <c r="D357" s="32" t="str">
        <f>IF('Importér data'!C368="type",'Importér data'!N368,"")</f>
        <v/>
      </c>
      <c r="E357" s="24"/>
      <c r="F357" s="45"/>
      <c r="G357" s="45"/>
      <c r="H357" s="24"/>
      <c r="I357" s="25" t="str">
        <f>IFERROR(($D357/50-_xlfn.XLOOKUP($E357,$O$35:$O$43,$T$35:$T$43)*F357)/$P$9,"")</f>
        <v/>
      </c>
      <c r="J357" s="25" t="str">
        <f>IFERROR(_xlfn.XLOOKUP($E357,$O$35:$O$43,$T$35:$T$43)*G357/$P$9,"")</f>
        <v/>
      </c>
      <c r="K357" s="25" t="str">
        <f>IF(E357=$O$43,($D357/50-$T$43*$P$9)/$P$9,"")</f>
        <v/>
      </c>
      <c r="L357" s="25" t="str">
        <f>IFERROR(($D357/50-_xlfn.XLOOKUP($H357,$O$48:$O$62,$T$48:$T$62)*$P$14)/$P$9,"")</f>
        <v/>
      </c>
      <c r="M357" s="14">
        <f t="shared" si="5"/>
        <v>0</v>
      </c>
    </row>
    <row r="358" spans="2:13" x14ac:dyDescent="0.25">
      <c r="B358" s="10" t="str">
        <f>IF('Importér data'!C369="type",'Importér data'!F369,"")</f>
        <v/>
      </c>
      <c r="C358" s="10">
        <f>'Importér data'!H369</f>
        <v>0</v>
      </c>
      <c r="D358" s="32" t="str">
        <f>IF('Importér data'!C369="type",'Importér data'!N369,"")</f>
        <v/>
      </c>
      <c r="E358" s="24"/>
      <c r="F358" s="45"/>
      <c r="G358" s="45"/>
      <c r="H358" s="24"/>
      <c r="I358" s="25" t="str">
        <f>IFERROR(($D358/50-_xlfn.XLOOKUP($E358,$O$35:$O$43,$T$35:$T$43)*F358)/$P$9,"")</f>
        <v/>
      </c>
      <c r="J358" s="25" t="str">
        <f>IFERROR(_xlfn.XLOOKUP($E358,$O$35:$O$43,$T$35:$T$43)*G358/$P$9,"")</f>
        <v/>
      </c>
      <c r="K358" s="25" t="str">
        <f>IF(E358=$O$43,($D358/50-$T$43*$P$9)/$P$9,"")</f>
        <v/>
      </c>
      <c r="L358" s="25" t="str">
        <f>IFERROR(($D358/50-_xlfn.XLOOKUP($H358,$O$48:$O$62,$T$48:$T$62)*$P$14)/$P$9,"")</f>
        <v/>
      </c>
      <c r="M358" s="14">
        <f t="shared" si="5"/>
        <v>0</v>
      </c>
    </row>
    <row r="359" spans="2:13" x14ac:dyDescent="0.25">
      <c r="B359" s="10" t="str">
        <f>IF('Importér data'!C370="type",'Importér data'!F370,"")</f>
        <v/>
      </c>
      <c r="C359" s="10">
        <f>'Importér data'!H370</f>
        <v>0</v>
      </c>
      <c r="D359" s="32" t="str">
        <f>IF('Importér data'!C370="type",'Importér data'!N370,"")</f>
        <v/>
      </c>
      <c r="E359" s="24"/>
      <c r="F359" s="45"/>
      <c r="G359" s="45"/>
      <c r="H359" s="24"/>
      <c r="I359" s="25" t="str">
        <f>IFERROR(($D359/50-_xlfn.XLOOKUP($E359,$O$35:$O$43,$T$35:$T$43)*F359)/$P$9,"")</f>
        <v/>
      </c>
      <c r="J359" s="25" t="str">
        <f>IFERROR(_xlfn.XLOOKUP($E359,$O$35:$O$43,$T$35:$T$43)*G359/$P$9,"")</f>
        <v/>
      </c>
      <c r="K359" s="25" t="str">
        <f>IF(E359=$O$43,($D359/50-$T$43*$P$9)/$P$9,"")</f>
        <v/>
      </c>
      <c r="L359" s="25" t="str">
        <f>IFERROR(($D359/50-_xlfn.XLOOKUP($H359,$O$48:$O$62,$T$48:$T$62)*$P$14)/$P$9,"")</f>
        <v/>
      </c>
      <c r="M359" s="14">
        <f t="shared" si="5"/>
        <v>0</v>
      </c>
    </row>
    <row r="360" spans="2:13" x14ac:dyDescent="0.25">
      <c r="B360" s="10" t="str">
        <f>IF('Importér data'!C371="type",'Importér data'!F371,"")</f>
        <v/>
      </c>
      <c r="C360" s="10">
        <f>'Importér data'!H371</f>
        <v>0</v>
      </c>
      <c r="D360" s="32" t="str">
        <f>IF('Importér data'!C371="type",'Importér data'!N371,"")</f>
        <v/>
      </c>
      <c r="E360" s="24"/>
      <c r="F360" s="45"/>
      <c r="G360" s="45"/>
      <c r="H360" s="24"/>
      <c r="I360" s="25" t="str">
        <f>IFERROR(($D360/50-_xlfn.XLOOKUP($E360,$O$35:$O$43,$T$35:$T$43)*F360)/$P$9,"")</f>
        <v/>
      </c>
      <c r="J360" s="25" t="str">
        <f>IFERROR(_xlfn.XLOOKUP($E360,$O$35:$O$43,$T$35:$T$43)*G360/$P$9,"")</f>
        <v/>
      </c>
      <c r="K360" s="25" t="str">
        <f>IF(E360=$O$43,($D360/50-$T$43*$P$9)/$P$9,"")</f>
        <v/>
      </c>
      <c r="L360" s="25" t="str">
        <f>IFERROR(($D360/50-_xlfn.XLOOKUP($H360,$O$48:$O$62,$T$48:$T$62)*$P$14)/$P$9,"")</f>
        <v/>
      </c>
      <c r="M360" s="14">
        <f t="shared" si="5"/>
        <v>0</v>
      </c>
    </row>
    <row r="361" spans="2:13" x14ac:dyDescent="0.25">
      <c r="B361" s="10" t="str">
        <f>IF('Importér data'!C372="type",'Importér data'!F372,"")</f>
        <v/>
      </c>
      <c r="C361" s="10">
        <f>'Importér data'!H372</f>
        <v>0</v>
      </c>
      <c r="D361" s="32" t="str">
        <f>IF('Importér data'!C372="type",'Importér data'!N372,"")</f>
        <v/>
      </c>
      <c r="E361" s="24"/>
      <c r="F361" s="45"/>
      <c r="G361" s="45"/>
      <c r="H361" s="24"/>
      <c r="I361" s="25" t="str">
        <f>IFERROR(($D361/50-_xlfn.XLOOKUP($E361,$O$35:$O$43,$T$35:$T$43)*F361)/$P$9,"")</f>
        <v/>
      </c>
      <c r="J361" s="25" t="str">
        <f>IFERROR(_xlfn.XLOOKUP($E361,$O$35:$O$43,$T$35:$T$43)*G361/$P$9,"")</f>
        <v/>
      </c>
      <c r="K361" s="25" t="str">
        <f>IF(E361=$O$43,($D361/50-$T$43*$P$9)/$P$9,"")</f>
        <v/>
      </c>
      <c r="L361" s="25" t="str">
        <f>IFERROR(($D361/50-_xlfn.XLOOKUP($H361,$O$48:$O$62,$T$48:$T$62)*$P$14)/$P$9,"")</f>
        <v/>
      </c>
      <c r="M361" s="14">
        <f t="shared" si="5"/>
        <v>0</v>
      </c>
    </row>
    <row r="362" spans="2:13" x14ac:dyDescent="0.25">
      <c r="B362" s="10" t="str">
        <f>IF('Importér data'!C373="type",'Importér data'!F373,"")</f>
        <v/>
      </c>
      <c r="C362" s="10">
        <f>'Importér data'!H373</f>
        <v>0</v>
      </c>
      <c r="D362" s="32" t="str">
        <f>IF('Importér data'!C373="type",'Importér data'!N373,"")</f>
        <v/>
      </c>
      <c r="E362" s="24"/>
      <c r="F362" s="45"/>
      <c r="G362" s="45"/>
      <c r="H362" s="24"/>
      <c r="I362" s="25" t="str">
        <f>IFERROR(($D362/50-_xlfn.XLOOKUP($E362,$O$35:$O$43,$T$35:$T$43)*F362)/$P$9,"")</f>
        <v/>
      </c>
      <c r="J362" s="25" t="str">
        <f>IFERROR(_xlfn.XLOOKUP($E362,$O$35:$O$43,$T$35:$T$43)*G362/$P$9,"")</f>
        <v/>
      </c>
      <c r="K362" s="25" t="str">
        <f>IF(E362=$O$43,($D362/50-$T$43*$P$9)/$P$9,"")</f>
        <v/>
      </c>
      <c r="L362" s="25" t="str">
        <f>IFERROR(($D362/50-_xlfn.XLOOKUP($H362,$O$48:$O$62,$T$48:$T$62)*$P$14)/$P$9,"")</f>
        <v/>
      </c>
      <c r="M362" s="14">
        <f t="shared" si="5"/>
        <v>0</v>
      </c>
    </row>
    <row r="363" spans="2:13" x14ac:dyDescent="0.25">
      <c r="B363" s="10" t="str">
        <f>IF('Importér data'!C374="type",'Importér data'!F374,"")</f>
        <v/>
      </c>
      <c r="C363" s="10">
        <f>'Importér data'!H374</f>
        <v>0</v>
      </c>
      <c r="D363" s="32" t="str">
        <f>IF('Importér data'!C374="type",'Importér data'!N374,"")</f>
        <v/>
      </c>
      <c r="E363" s="24"/>
      <c r="F363" s="45"/>
      <c r="G363" s="45"/>
      <c r="H363" s="24"/>
      <c r="I363" s="25" t="str">
        <f>IFERROR(($D363/50-_xlfn.XLOOKUP($E363,$O$35:$O$43,$T$35:$T$43)*F363)/$P$9,"")</f>
        <v/>
      </c>
      <c r="J363" s="25" t="str">
        <f>IFERROR(_xlfn.XLOOKUP($E363,$O$35:$O$43,$T$35:$T$43)*G363/$P$9,"")</f>
        <v/>
      </c>
      <c r="K363" s="25" t="str">
        <f>IF(E363=$O$43,($D363/50-$T$43*$P$9)/$P$9,"")</f>
        <v/>
      </c>
      <c r="L363" s="25" t="str">
        <f>IFERROR(($D363/50-_xlfn.XLOOKUP($H363,$O$48:$O$62,$T$48:$T$62)*$P$14)/$P$9,"")</f>
        <v/>
      </c>
      <c r="M363" s="14">
        <f t="shared" si="5"/>
        <v>0</v>
      </c>
    </row>
    <row r="364" spans="2:13" x14ac:dyDescent="0.25">
      <c r="B364" s="10" t="str">
        <f>IF('Importér data'!C375="type",'Importér data'!F375,"")</f>
        <v/>
      </c>
      <c r="C364" s="10">
        <f>'Importér data'!H375</f>
        <v>0</v>
      </c>
      <c r="D364" s="32" t="str">
        <f>IF('Importér data'!C375="type",'Importér data'!N375,"")</f>
        <v/>
      </c>
      <c r="E364" s="24"/>
      <c r="F364" s="45"/>
      <c r="G364" s="45"/>
      <c r="H364" s="24"/>
      <c r="I364" s="25" t="str">
        <f>IFERROR(($D364/50-_xlfn.XLOOKUP($E364,$O$35:$O$43,$T$35:$T$43)*F364)/$P$9,"")</f>
        <v/>
      </c>
      <c r="J364" s="25" t="str">
        <f>IFERROR(_xlfn.XLOOKUP($E364,$O$35:$O$43,$T$35:$T$43)*G364/$P$9,"")</f>
        <v/>
      </c>
      <c r="K364" s="25" t="str">
        <f>IF(E364=$O$43,($D364/50-$T$43*$P$9)/$P$9,"")</f>
        <v/>
      </c>
      <c r="L364" s="25" t="str">
        <f>IFERROR(($D364/50-_xlfn.XLOOKUP($H364,$O$48:$O$62,$T$48:$T$62)*$P$14)/$P$9,"")</f>
        <v/>
      </c>
      <c r="M364" s="14">
        <f t="shared" si="5"/>
        <v>0</v>
      </c>
    </row>
    <row r="365" spans="2:13" x14ac:dyDescent="0.25">
      <c r="B365" s="10" t="str">
        <f>IF('Importér data'!C376="type",'Importér data'!F376,"")</f>
        <v/>
      </c>
      <c r="C365" s="10">
        <f>'Importér data'!H376</f>
        <v>0</v>
      </c>
      <c r="D365" s="32" t="str">
        <f>IF('Importér data'!C376="type",'Importér data'!N376,"")</f>
        <v/>
      </c>
      <c r="E365" s="24"/>
      <c r="F365" s="45"/>
      <c r="G365" s="45"/>
      <c r="H365" s="24"/>
      <c r="I365" s="25" t="str">
        <f>IFERROR(($D365/50-_xlfn.XLOOKUP($E365,$O$35:$O$43,$T$35:$T$43)*F365)/$P$9,"")</f>
        <v/>
      </c>
      <c r="J365" s="25" t="str">
        <f>IFERROR(_xlfn.XLOOKUP($E365,$O$35:$O$43,$T$35:$T$43)*G365/$P$9,"")</f>
        <v/>
      </c>
      <c r="K365" s="25" t="str">
        <f>IF(E365=$O$43,($D365/50-$T$43*$P$9)/$P$9,"")</f>
        <v/>
      </c>
      <c r="L365" s="25" t="str">
        <f>IFERROR(($D365/50-_xlfn.XLOOKUP($H365,$O$48:$O$62,$T$48:$T$62)*$P$14)/$P$9,"")</f>
        <v/>
      </c>
      <c r="M365" s="14">
        <f t="shared" si="5"/>
        <v>0</v>
      </c>
    </row>
    <row r="366" spans="2:13" x14ac:dyDescent="0.25">
      <c r="B366" s="10" t="str">
        <f>IF('Importér data'!C377="type",'Importér data'!F377,"")</f>
        <v/>
      </c>
      <c r="C366" s="10">
        <f>'Importér data'!H377</f>
        <v>0</v>
      </c>
      <c r="D366" s="32" t="str">
        <f>IF('Importér data'!C377="type",'Importér data'!N377,"")</f>
        <v/>
      </c>
      <c r="E366" s="24"/>
      <c r="F366" s="45"/>
      <c r="G366" s="45"/>
      <c r="H366" s="24"/>
      <c r="I366" s="25" t="str">
        <f>IFERROR(($D366/50-_xlfn.XLOOKUP($E366,$O$35:$O$43,$T$35:$T$43)*F366)/$P$9,"")</f>
        <v/>
      </c>
      <c r="J366" s="25" t="str">
        <f>IFERROR(_xlfn.XLOOKUP($E366,$O$35:$O$43,$T$35:$T$43)*G366/$P$9,"")</f>
        <v/>
      </c>
      <c r="K366" s="25" t="str">
        <f>IF(E366=$O$43,($D366/50-$T$43*$P$9)/$P$9,"")</f>
        <v/>
      </c>
      <c r="L366" s="25" t="str">
        <f>IFERROR(($D366/50-_xlfn.XLOOKUP($H366,$O$48:$O$62,$T$48:$T$62)*$P$14)/$P$9,"")</f>
        <v/>
      </c>
      <c r="M366" s="14">
        <f t="shared" si="5"/>
        <v>0</v>
      </c>
    </row>
    <row r="367" spans="2:13" x14ac:dyDescent="0.25">
      <c r="B367" s="10" t="str">
        <f>IF('Importér data'!C378="type",'Importér data'!F378,"")</f>
        <v/>
      </c>
      <c r="C367" s="10">
        <f>'Importér data'!H378</f>
        <v>0</v>
      </c>
      <c r="D367" s="32" t="str">
        <f>IF('Importér data'!C378="type",'Importér data'!N378,"")</f>
        <v/>
      </c>
      <c r="E367" s="24"/>
      <c r="F367" s="45"/>
      <c r="G367" s="45"/>
      <c r="H367" s="24"/>
      <c r="I367" s="25" t="str">
        <f>IFERROR(($D367/50-_xlfn.XLOOKUP($E367,$O$35:$O$43,$T$35:$T$43)*F367)/$P$9,"")</f>
        <v/>
      </c>
      <c r="J367" s="25" t="str">
        <f>IFERROR(_xlfn.XLOOKUP($E367,$O$35:$O$43,$T$35:$T$43)*G367/$P$9,"")</f>
        <v/>
      </c>
      <c r="K367" s="25" t="str">
        <f>IF(E367=$O$43,($D367/50-$T$43*$P$9)/$P$9,"")</f>
        <v/>
      </c>
      <c r="L367" s="25" t="str">
        <f>IFERROR(($D367/50-_xlfn.XLOOKUP($H367,$O$48:$O$62,$T$48:$T$62)*$P$14)/$P$9,"")</f>
        <v/>
      </c>
      <c r="M367" s="14">
        <f t="shared" si="5"/>
        <v>0</v>
      </c>
    </row>
    <row r="368" spans="2:13" x14ac:dyDescent="0.25">
      <c r="B368" s="10" t="str">
        <f>IF('Importér data'!C379="type",'Importér data'!F379,"")</f>
        <v/>
      </c>
      <c r="C368" s="10">
        <f>'Importér data'!H379</f>
        <v>0</v>
      </c>
      <c r="D368" s="32" t="str">
        <f>IF('Importér data'!C379="type",'Importér data'!N379,"")</f>
        <v/>
      </c>
      <c r="E368" s="24"/>
      <c r="F368" s="45"/>
      <c r="G368" s="45"/>
      <c r="H368" s="24"/>
      <c r="I368" s="25" t="str">
        <f>IFERROR(($D368/50-_xlfn.XLOOKUP($E368,$O$35:$O$43,$T$35:$T$43)*F368)/$P$9,"")</f>
        <v/>
      </c>
      <c r="J368" s="25" t="str">
        <f>IFERROR(_xlfn.XLOOKUP($E368,$O$35:$O$43,$T$35:$T$43)*G368/$P$9,"")</f>
        <v/>
      </c>
      <c r="K368" s="25" t="str">
        <f>IF(E368=$O$43,($D368/50-$T$43*$P$9)/$P$9,"")</f>
        <v/>
      </c>
      <c r="L368" s="25" t="str">
        <f>IFERROR(($D368/50-_xlfn.XLOOKUP($H368,$O$48:$O$62,$T$48:$T$62)*$P$14)/$P$9,"")</f>
        <v/>
      </c>
      <c r="M368" s="14">
        <f t="shared" si="5"/>
        <v>0</v>
      </c>
    </row>
    <row r="369" spans="2:13" x14ac:dyDescent="0.25">
      <c r="B369" s="10" t="str">
        <f>IF('Importér data'!C380="type",'Importér data'!F380,"")</f>
        <v/>
      </c>
      <c r="C369" s="10">
        <f>'Importér data'!H380</f>
        <v>0</v>
      </c>
      <c r="D369" s="32" t="str">
        <f>IF('Importér data'!C380="type",'Importér data'!N380,"")</f>
        <v/>
      </c>
      <c r="E369" s="24"/>
      <c r="F369" s="45"/>
      <c r="G369" s="45"/>
      <c r="H369" s="24"/>
      <c r="I369" s="25" t="str">
        <f>IFERROR(($D369/50-_xlfn.XLOOKUP($E369,$O$35:$O$43,$T$35:$T$43)*F369)/$P$9,"")</f>
        <v/>
      </c>
      <c r="J369" s="25" t="str">
        <f>IFERROR(_xlfn.XLOOKUP($E369,$O$35:$O$43,$T$35:$T$43)*G369/$P$9,"")</f>
        <v/>
      </c>
      <c r="K369" s="25" t="str">
        <f>IF(E369=$O$43,($D369/50-$T$43*$P$9)/$P$9,"")</f>
        <v/>
      </c>
      <c r="L369" s="25" t="str">
        <f>IFERROR(($D369/50-_xlfn.XLOOKUP($H369,$O$48:$O$62,$T$48:$T$62)*$P$14)/$P$9,"")</f>
        <v/>
      </c>
      <c r="M369" s="14">
        <f t="shared" si="5"/>
        <v>0</v>
      </c>
    </row>
    <row r="370" spans="2:13" x14ac:dyDescent="0.25">
      <c r="B370" s="10" t="str">
        <f>IF('Importér data'!C381="type",'Importér data'!F381,"")</f>
        <v/>
      </c>
      <c r="C370" s="10">
        <f>'Importér data'!H381</f>
        <v>0</v>
      </c>
      <c r="D370" s="32" t="str">
        <f>IF('Importér data'!C381="type",'Importér data'!N381,"")</f>
        <v/>
      </c>
      <c r="E370" s="24"/>
      <c r="F370" s="45"/>
      <c r="G370" s="45"/>
      <c r="H370" s="24"/>
      <c r="I370" s="25" t="str">
        <f>IFERROR(($D370/50-_xlfn.XLOOKUP($E370,$O$35:$O$43,$T$35:$T$43)*F370)/$P$9,"")</f>
        <v/>
      </c>
      <c r="J370" s="25" t="str">
        <f>IFERROR(_xlfn.XLOOKUP($E370,$O$35:$O$43,$T$35:$T$43)*G370/$P$9,"")</f>
        <v/>
      </c>
      <c r="K370" s="25" t="str">
        <f>IF(E370=$O$43,($D370/50-$T$43*$P$9)/$P$9,"")</f>
        <v/>
      </c>
      <c r="L370" s="25" t="str">
        <f>IFERROR(($D370/50-_xlfn.XLOOKUP($H370,$O$48:$O$62,$T$48:$T$62)*$P$14)/$P$9,"")</f>
        <v/>
      </c>
      <c r="M370" s="14">
        <f t="shared" si="5"/>
        <v>0</v>
      </c>
    </row>
    <row r="371" spans="2:13" x14ac:dyDescent="0.25">
      <c r="B371" s="10" t="str">
        <f>IF('Importér data'!C382="type",'Importér data'!F382,"")</f>
        <v/>
      </c>
      <c r="C371" s="10">
        <f>'Importér data'!H382</f>
        <v>0</v>
      </c>
      <c r="D371" s="32" t="str">
        <f>IF('Importér data'!C382="type",'Importér data'!N382,"")</f>
        <v/>
      </c>
      <c r="E371" s="24"/>
      <c r="F371" s="45"/>
      <c r="G371" s="45"/>
      <c r="H371" s="24"/>
      <c r="I371" s="25" t="str">
        <f>IFERROR(($D371/50-_xlfn.XLOOKUP($E371,$O$35:$O$43,$T$35:$T$43)*F371)/$P$9,"")</f>
        <v/>
      </c>
      <c r="J371" s="25" t="str">
        <f>IFERROR(_xlfn.XLOOKUP($E371,$O$35:$O$43,$T$35:$T$43)*G371/$P$9,"")</f>
        <v/>
      </c>
      <c r="K371" s="25" t="str">
        <f>IF(E371=$O$43,($D371/50-$T$43*$P$9)/$P$9,"")</f>
        <v/>
      </c>
      <c r="L371" s="25" t="str">
        <f>IFERROR(($D371/50-_xlfn.XLOOKUP($H371,$O$48:$O$62,$T$48:$T$62)*$P$14)/$P$9,"")</f>
        <v/>
      </c>
      <c r="M371" s="14">
        <f t="shared" si="5"/>
        <v>0</v>
      </c>
    </row>
    <row r="372" spans="2:13" x14ac:dyDescent="0.25">
      <c r="B372" s="10" t="str">
        <f>IF('Importér data'!C383="type",'Importér data'!F383,"")</f>
        <v/>
      </c>
      <c r="C372" s="10">
        <f>'Importér data'!H383</f>
        <v>0</v>
      </c>
      <c r="D372" s="32" t="str">
        <f>IF('Importér data'!C383="type",'Importér data'!N383,"")</f>
        <v/>
      </c>
      <c r="E372" s="24"/>
      <c r="F372" s="45"/>
      <c r="G372" s="45"/>
      <c r="H372" s="24"/>
      <c r="I372" s="25" t="str">
        <f>IFERROR(($D372/50-_xlfn.XLOOKUP($E372,$O$35:$O$43,$T$35:$T$43)*F372)/$P$9,"")</f>
        <v/>
      </c>
      <c r="J372" s="25" t="str">
        <f>IFERROR(_xlfn.XLOOKUP($E372,$O$35:$O$43,$T$35:$T$43)*G372/$P$9,"")</f>
        <v/>
      </c>
      <c r="K372" s="25" t="str">
        <f>IF(E372=$O$43,($D372/50-$T$43*$P$9)/$P$9,"")</f>
        <v/>
      </c>
      <c r="L372" s="25" t="str">
        <f>IFERROR(($D372/50-_xlfn.XLOOKUP($H372,$O$48:$O$62,$T$48:$T$62)*$P$14)/$P$9,"")</f>
        <v/>
      </c>
      <c r="M372" s="14">
        <f t="shared" si="5"/>
        <v>0</v>
      </c>
    </row>
    <row r="373" spans="2:13" x14ac:dyDescent="0.25">
      <c r="B373" s="10" t="str">
        <f>IF('Importér data'!C384="type",'Importér data'!F384,"")</f>
        <v/>
      </c>
      <c r="C373" s="10">
        <f>'Importér data'!H384</f>
        <v>0</v>
      </c>
      <c r="D373" s="32" t="str">
        <f>IF('Importér data'!C384="type",'Importér data'!N384,"")</f>
        <v/>
      </c>
      <c r="E373" s="24"/>
      <c r="F373" s="45"/>
      <c r="G373" s="45"/>
      <c r="H373" s="24"/>
      <c r="I373" s="25" t="str">
        <f>IFERROR(($D373/50-_xlfn.XLOOKUP($E373,$O$35:$O$43,$T$35:$T$43)*F373)/$P$9,"")</f>
        <v/>
      </c>
      <c r="J373" s="25" t="str">
        <f>IFERROR(_xlfn.XLOOKUP($E373,$O$35:$O$43,$T$35:$T$43)*G373/$P$9,"")</f>
        <v/>
      </c>
      <c r="K373" s="25" t="str">
        <f>IF(E373=$O$43,($D373/50-$T$43*$P$9)/$P$9,"")</f>
        <v/>
      </c>
      <c r="L373" s="25" t="str">
        <f>IFERROR(($D373/50-_xlfn.XLOOKUP($H373,$O$48:$O$62,$T$48:$T$62)*$P$14)/$P$9,"")</f>
        <v/>
      </c>
      <c r="M373" s="14">
        <f t="shared" si="5"/>
        <v>0</v>
      </c>
    </row>
    <row r="374" spans="2:13" x14ac:dyDescent="0.25">
      <c r="B374" s="10" t="str">
        <f>IF('Importér data'!C385="type",'Importér data'!F385,"")</f>
        <v/>
      </c>
      <c r="C374" s="10">
        <f>'Importér data'!H385</f>
        <v>0</v>
      </c>
      <c r="D374" s="32" t="str">
        <f>IF('Importér data'!C385="type",'Importér data'!N385,"")</f>
        <v/>
      </c>
      <c r="E374" s="24"/>
      <c r="F374" s="45"/>
      <c r="G374" s="45"/>
      <c r="H374" s="24"/>
      <c r="I374" s="25" t="str">
        <f>IFERROR(($D374/50-_xlfn.XLOOKUP($E374,$O$35:$O$43,$T$35:$T$43)*F374)/$P$9,"")</f>
        <v/>
      </c>
      <c r="J374" s="25" t="str">
        <f>IFERROR(_xlfn.XLOOKUP($E374,$O$35:$O$43,$T$35:$T$43)*G374/$P$9,"")</f>
        <v/>
      </c>
      <c r="K374" s="25" t="str">
        <f>IF(E374=$O$43,($D374/50-$T$43*$P$9)/$P$9,"")</f>
        <v/>
      </c>
      <c r="L374" s="25" t="str">
        <f>IFERROR(($D374/50-_xlfn.XLOOKUP($H374,$O$48:$O$62,$T$48:$T$62)*$P$14)/$P$9,"")</f>
        <v/>
      </c>
      <c r="M374" s="14">
        <f t="shared" si="5"/>
        <v>0</v>
      </c>
    </row>
    <row r="375" spans="2:13" x14ac:dyDescent="0.25">
      <c r="B375" s="10" t="str">
        <f>IF('Importér data'!C386="type",'Importér data'!F386,"")</f>
        <v/>
      </c>
      <c r="C375" s="10">
        <f>'Importér data'!H386</f>
        <v>0</v>
      </c>
      <c r="D375" s="32" t="str">
        <f>IF('Importér data'!C386="type",'Importér data'!N386,"")</f>
        <v/>
      </c>
      <c r="E375" s="24"/>
      <c r="F375" s="45"/>
      <c r="G375" s="45"/>
      <c r="H375" s="24"/>
      <c r="I375" s="25" t="str">
        <f>IFERROR(($D375/50-_xlfn.XLOOKUP($E375,$O$35:$O$43,$T$35:$T$43)*F375)/$P$9,"")</f>
        <v/>
      </c>
      <c r="J375" s="25" t="str">
        <f>IFERROR(_xlfn.XLOOKUP($E375,$O$35:$O$43,$T$35:$T$43)*G375/$P$9,"")</f>
        <v/>
      </c>
      <c r="K375" s="25" t="str">
        <f>IF(E375=$O$43,($D375/50-$T$43*$P$9)/$P$9,"")</f>
        <v/>
      </c>
      <c r="L375" s="25" t="str">
        <f>IFERROR(($D375/50-_xlfn.XLOOKUP($H375,$O$48:$O$62,$T$48:$T$62)*$P$14)/$P$9,"")</f>
        <v/>
      </c>
      <c r="M375" s="14">
        <f t="shared" si="5"/>
        <v>0</v>
      </c>
    </row>
    <row r="376" spans="2:13" x14ac:dyDescent="0.25">
      <c r="B376" s="10" t="str">
        <f>IF('Importér data'!C387="type",'Importér data'!F387,"")</f>
        <v/>
      </c>
      <c r="C376" s="10">
        <f>'Importér data'!H387</f>
        <v>0</v>
      </c>
      <c r="D376" s="32" t="str">
        <f>IF('Importér data'!C387="type",'Importér data'!N387,"")</f>
        <v/>
      </c>
      <c r="E376" s="24"/>
      <c r="F376" s="45"/>
      <c r="G376" s="45"/>
      <c r="H376" s="24"/>
      <c r="I376" s="25" t="str">
        <f>IFERROR(($D376/50-_xlfn.XLOOKUP($E376,$O$35:$O$43,$T$35:$T$43)*F376)/$P$9,"")</f>
        <v/>
      </c>
      <c r="J376" s="25" t="str">
        <f>IFERROR(_xlfn.XLOOKUP($E376,$O$35:$O$43,$T$35:$T$43)*G376/$P$9,"")</f>
        <v/>
      </c>
      <c r="K376" s="25" t="str">
        <f>IF(E376=$O$43,($D376/50-$T$43*$P$9)/$P$9,"")</f>
        <v/>
      </c>
      <c r="L376" s="25" t="str">
        <f>IFERROR(($D376/50-_xlfn.XLOOKUP($H376,$O$48:$O$62,$T$48:$T$62)*$P$14)/$P$9,"")</f>
        <v/>
      </c>
      <c r="M376" s="14">
        <f t="shared" si="5"/>
        <v>0</v>
      </c>
    </row>
    <row r="377" spans="2:13" x14ac:dyDescent="0.25">
      <c r="B377" s="10" t="str">
        <f>IF('Importér data'!C388="type",'Importér data'!F388,"")</f>
        <v/>
      </c>
      <c r="C377" s="10">
        <f>'Importér data'!H388</f>
        <v>0</v>
      </c>
      <c r="D377" s="32" t="str">
        <f>IF('Importér data'!C388="type",'Importér data'!N388,"")</f>
        <v/>
      </c>
      <c r="E377" s="24"/>
      <c r="F377" s="45"/>
      <c r="G377" s="45"/>
      <c r="H377" s="24"/>
      <c r="I377" s="25" t="str">
        <f>IFERROR(($D377/50-_xlfn.XLOOKUP($E377,$O$35:$O$43,$T$35:$T$43)*F377)/$P$9,"")</f>
        <v/>
      </c>
      <c r="J377" s="25" t="str">
        <f>IFERROR(_xlfn.XLOOKUP($E377,$O$35:$O$43,$T$35:$T$43)*G377/$P$9,"")</f>
        <v/>
      </c>
      <c r="K377" s="25" t="str">
        <f>IF(E377=$O$43,($D377/50-$T$43*$P$9)/$P$9,"")</f>
        <v/>
      </c>
      <c r="L377" s="25" t="str">
        <f>IFERROR(($D377/50-_xlfn.XLOOKUP($H377,$O$48:$O$62,$T$48:$T$62)*$P$14)/$P$9,"")</f>
        <v/>
      </c>
      <c r="M377" s="14">
        <f t="shared" si="5"/>
        <v>0</v>
      </c>
    </row>
    <row r="378" spans="2:13" x14ac:dyDescent="0.25">
      <c r="B378" s="10" t="str">
        <f>IF('Importér data'!C389="type",'Importér data'!F389,"")</f>
        <v/>
      </c>
      <c r="C378" s="10">
        <f>'Importér data'!H389</f>
        <v>0</v>
      </c>
      <c r="D378" s="32" t="str">
        <f>IF('Importér data'!C389="type",'Importér data'!N389,"")</f>
        <v/>
      </c>
      <c r="E378" s="24"/>
      <c r="F378" s="45"/>
      <c r="G378" s="45"/>
      <c r="H378" s="24"/>
      <c r="I378" s="25" t="str">
        <f>IFERROR(($D378/50-_xlfn.XLOOKUP($E378,$O$35:$O$43,$T$35:$T$43)*F378)/$P$9,"")</f>
        <v/>
      </c>
      <c r="J378" s="25" t="str">
        <f>IFERROR(_xlfn.XLOOKUP($E378,$O$35:$O$43,$T$35:$T$43)*G378/$P$9,"")</f>
        <v/>
      </c>
      <c r="K378" s="25" t="str">
        <f>IF(E378=$O$43,($D378/50-$T$43*$P$9)/$P$9,"")</f>
        <v/>
      </c>
      <c r="L378" s="25" t="str">
        <f>IFERROR(($D378/50-_xlfn.XLOOKUP($H378,$O$48:$O$62,$T$48:$T$62)*$P$14)/$P$9,"")</f>
        <v/>
      </c>
      <c r="M378" s="14">
        <f t="shared" si="5"/>
        <v>0</v>
      </c>
    </row>
    <row r="379" spans="2:13" x14ac:dyDescent="0.25">
      <c r="B379" s="10" t="str">
        <f>IF('Importér data'!C390="type",'Importér data'!F390,"")</f>
        <v/>
      </c>
      <c r="C379" s="10">
        <f>'Importér data'!H390</f>
        <v>0</v>
      </c>
      <c r="D379" s="32" t="str">
        <f>IF('Importér data'!C390="type",'Importér data'!N390,"")</f>
        <v/>
      </c>
      <c r="E379" s="24"/>
      <c r="F379" s="45"/>
      <c r="G379" s="45"/>
      <c r="H379" s="24"/>
      <c r="I379" s="25" t="str">
        <f>IFERROR(($D379/50-_xlfn.XLOOKUP($E379,$O$35:$O$43,$T$35:$T$43)*F379)/$P$9,"")</f>
        <v/>
      </c>
      <c r="J379" s="25" t="str">
        <f>IFERROR(_xlfn.XLOOKUP($E379,$O$35:$O$43,$T$35:$T$43)*G379/$P$9,"")</f>
        <v/>
      </c>
      <c r="K379" s="25" t="str">
        <f>IF(E379=$O$43,($D379/50-$T$43*$P$9)/$P$9,"")</f>
        <v/>
      </c>
      <c r="L379" s="25" t="str">
        <f>IFERROR(($D379/50-_xlfn.XLOOKUP($H379,$O$48:$O$62,$T$48:$T$62)*$P$14)/$P$9,"")</f>
        <v/>
      </c>
      <c r="M379" s="14">
        <f t="shared" si="5"/>
        <v>0</v>
      </c>
    </row>
    <row r="380" spans="2:13" x14ac:dyDescent="0.25">
      <c r="B380" s="10" t="str">
        <f>IF('Importér data'!C391="type",'Importér data'!F391,"")</f>
        <v/>
      </c>
      <c r="C380" s="10">
        <f>'Importér data'!H391</f>
        <v>0</v>
      </c>
      <c r="D380" s="32" t="str">
        <f>IF('Importér data'!C391="type",'Importér data'!N391,"")</f>
        <v/>
      </c>
      <c r="E380" s="24"/>
      <c r="F380" s="45"/>
      <c r="G380" s="45"/>
      <c r="H380" s="24"/>
      <c r="I380" s="25" t="str">
        <f>IFERROR(($D380/50-_xlfn.XLOOKUP($E380,$O$35:$O$43,$T$35:$T$43)*F380)/$P$9,"")</f>
        <v/>
      </c>
      <c r="J380" s="25" t="str">
        <f>IFERROR(_xlfn.XLOOKUP($E380,$O$35:$O$43,$T$35:$T$43)*G380/$P$9,"")</f>
        <v/>
      </c>
      <c r="K380" s="25" t="str">
        <f>IF(E380=$O$43,($D380/50-$T$43*$P$9)/$P$9,"")</f>
        <v/>
      </c>
      <c r="L380" s="25" t="str">
        <f>IFERROR(($D380/50-_xlfn.XLOOKUP($H380,$O$48:$O$62,$T$48:$T$62)*$P$14)/$P$9,"")</f>
        <v/>
      </c>
      <c r="M380" s="14">
        <f t="shared" si="5"/>
        <v>0</v>
      </c>
    </row>
    <row r="381" spans="2:13" x14ac:dyDescent="0.25">
      <c r="B381" s="10" t="str">
        <f>IF('Importér data'!C392="type",'Importér data'!F392,"")</f>
        <v/>
      </c>
      <c r="C381" s="10">
        <f>'Importér data'!H392</f>
        <v>0</v>
      </c>
      <c r="D381" s="32" t="str">
        <f>IF('Importér data'!C392="type",'Importér data'!N392,"")</f>
        <v/>
      </c>
      <c r="E381" s="24"/>
      <c r="F381" s="45"/>
      <c r="G381" s="45"/>
      <c r="H381" s="24"/>
      <c r="I381" s="25" t="str">
        <f>IFERROR(($D381/50-_xlfn.XLOOKUP($E381,$O$35:$O$43,$T$35:$T$43)*F381)/$P$9,"")</f>
        <v/>
      </c>
      <c r="J381" s="25" t="str">
        <f>IFERROR(_xlfn.XLOOKUP($E381,$O$35:$O$43,$T$35:$T$43)*G381/$P$9,"")</f>
        <v/>
      </c>
      <c r="K381" s="25" t="str">
        <f>IF(E381=$O$43,($D381/50-$T$43*$P$9)/$P$9,"")</f>
        <v/>
      </c>
      <c r="L381" s="25" t="str">
        <f>IFERROR(($D381/50-_xlfn.XLOOKUP($H381,$O$48:$O$62,$T$48:$T$62)*$P$14)/$P$9,"")</f>
        <v/>
      </c>
      <c r="M381" s="14">
        <f t="shared" si="5"/>
        <v>0</v>
      </c>
    </row>
    <row r="382" spans="2:13" x14ac:dyDescent="0.25">
      <c r="B382" s="10" t="str">
        <f>IF('Importér data'!C393="type",'Importér data'!F393,"")</f>
        <v/>
      </c>
      <c r="C382" s="10">
        <f>'Importér data'!H393</f>
        <v>0</v>
      </c>
      <c r="D382" s="32" t="str">
        <f>IF('Importér data'!C393="type",'Importér data'!N393,"")</f>
        <v/>
      </c>
      <c r="E382" s="24"/>
      <c r="F382" s="45"/>
      <c r="G382" s="45"/>
      <c r="H382" s="24"/>
      <c r="I382" s="25" t="str">
        <f>IFERROR(($D382/50-_xlfn.XLOOKUP($E382,$O$35:$O$43,$T$35:$T$43)*F382)/$P$9,"")</f>
        <v/>
      </c>
      <c r="J382" s="25" t="str">
        <f>IFERROR(_xlfn.XLOOKUP($E382,$O$35:$O$43,$T$35:$T$43)*G382/$P$9,"")</f>
        <v/>
      </c>
      <c r="K382" s="25" t="str">
        <f>IF(E382=$O$43,($D382/50-$T$43*$P$9)/$P$9,"")</f>
        <v/>
      </c>
      <c r="L382" s="25" t="str">
        <f>IFERROR(($D382/50-_xlfn.XLOOKUP($H382,$O$48:$O$62,$T$48:$T$62)*$P$14)/$P$9,"")</f>
        <v/>
      </c>
      <c r="M382" s="14">
        <f t="shared" si="5"/>
        <v>0</v>
      </c>
    </row>
    <row r="383" spans="2:13" x14ac:dyDescent="0.25">
      <c r="B383" s="10" t="str">
        <f>IF('Importér data'!C394="type",'Importér data'!F394,"")</f>
        <v/>
      </c>
      <c r="C383" s="10">
        <f>'Importér data'!H394</f>
        <v>0</v>
      </c>
      <c r="D383" s="32" t="str">
        <f>IF('Importér data'!C394="type",'Importér data'!N394,"")</f>
        <v/>
      </c>
      <c r="E383" s="24"/>
      <c r="F383" s="45"/>
      <c r="G383" s="45"/>
      <c r="H383" s="24"/>
      <c r="I383" s="25" t="str">
        <f>IFERROR(($D383/50-_xlfn.XLOOKUP($E383,$O$35:$O$43,$T$35:$T$43)*F383)/$P$9,"")</f>
        <v/>
      </c>
      <c r="J383" s="25" t="str">
        <f>IFERROR(_xlfn.XLOOKUP($E383,$O$35:$O$43,$T$35:$T$43)*G383/$P$9,"")</f>
        <v/>
      </c>
      <c r="K383" s="25" t="str">
        <f>IF(E383=$O$43,($D383/50-$T$43*$P$9)/$P$9,"")</f>
        <v/>
      </c>
      <c r="L383" s="25" t="str">
        <f>IFERROR(($D383/50-_xlfn.XLOOKUP($H383,$O$48:$O$62,$T$48:$T$62)*$P$14)/$P$9,"")</f>
        <v/>
      </c>
      <c r="M383" s="14">
        <f t="shared" si="5"/>
        <v>0</v>
      </c>
    </row>
    <row r="384" spans="2:13" x14ac:dyDescent="0.25">
      <c r="B384" s="10" t="str">
        <f>IF('Importér data'!C395="type",'Importér data'!F395,"")</f>
        <v/>
      </c>
      <c r="C384" s="10">
        <f>'Importér data'!H395</f>
        <v>0</v>
      </c>
      <c r="D384" s="32" t="str">
        <f>IF('Importér data'!C395="type",'Importér data'!N395,"")</f>
        <v/>
      </c>
      <c r="E384" s="24"/>
      <c r="F384" s="45"/>
      <c r="G384" s="45"/>
      <c r="H384" s="24"/>
      <c r="I384" s="25" t="str">
        <f>IFERROR(($D384/50-_xlfn.XLOOKUP($E384,$O$35:$O$43,$T$35:$T$43)*F384)/$P$9,"")</f>
        <v/>
      </c>
      <c r="J384" s="25" t="str">
        <f>IFERROR(_xlfn.XLOOKUP($E384,$O$35:$O$43,$T$35:$T$43)*G384/$P$9,"")</f>
        <v/>
      </c>
      <c r="K384" s="25" t="str">
        <f>IF(E384=$O$43,($D384/50-$T$43*$P$9)/$P$9,"")</f>
        <v/>
      </c>
      <c r="L384" s="25" t="str">
        <f>IFERROR(($D384/50-_xlfn.XLOOKUP($H384,$O$48:$O$62,$T$48:$T$62)*$P$14)/$P$9,"")</f>
        <v/>
      </c>
      <c r="M384" s="14">
        <f t="shared" si="5"/>
        <v>0</v>
      </c>
    </row>
    <row r="385" spans="2:13" x14ac:dyDescent="0.25">
      <c r="B385" s="10" t="str">
        <f>IF('Importér data'!C396="type",'Importér data'!F396,"")</f>
        <v/>
      </c>
      <c r="C385" s="10">
        <f>'Importér data'!H396</f>
        <v>0</v>
      </c>
      <c r="D385" s="32" t="str">
        <f>IF('Importér data'!C396="type",'Importér data'!N396,"")</f>
        <v/>
      </c>
      <c r="E385" s="24"/>
      <c r="F385" s="45"/>
      <c r="G385" s="45"/>
      <c r="H385" s="24"/>
      <c r="I385" s="25" t="str">
        <f>IFERROR(($D385/50-_xlfn.XLOOKUP($E385,$O$35:$O$43,$T$35:$T$43)*F385)/$P$9,"")</f>
        <v/>
      </c>
      <c r="J385" s="25" t="str">
        <f>IFERROR(_xlfn.XLOOKUP($E385,$O$35:$O$43,$T$35:$T$43)*G385/$P$9,"")</f>
        <v/>
      </c>
      <c r="K385" s="25" t="str">
        <f>IF(E385=$O$43,($D385/50-$T$43*$P$9)/$P$9,"")</f>
        <v/>
      </c>
      <c r="L385" s="25" t="str">
        <f>IFERROR(($D385/50-_xlfn.XLOOKUP($H385,$O$48:$O$62,$T$48:$T$62)*$P$14)/$P$9,"")</f>
        <v/>
      </c>
      <c r="M385" s="14">
        <f t="shared" si="5"/>
        <v>0</v>
      </c>
    </row>
    <row r="386" spans="2:13" x14ac:dyDescent="0.25">
      <c r="B386" s="10" t="str">
        <f>IF('Importér data'!C397="type",'Importér data'!F397,"")</f>
        <v/>
      </c>
      <c r="C386" s="10">
        <f>'Importér data'!H397</f>
        <v>0</v>
      </c>
      <c r="D386" s="32" t="str">
        <f>IF('Importér data'!C397="type",'Importér data'!N397,"")</f>
        <v/>
      </c>
      <c r="E386" s="24"/>
      <c r="F386" s="45"/>
      <c r="G386" s="45"/>
      <c r="H386" s="24"/>
      <c r="I386" s="25" t="str">
        <f>IFERROR(($D386/50-_xlfn.XLOOKUP($E386,$O$35:$O$43,$T$35:$T$43)*F386)/$P$9,"")</f>
        <v/>
      </c>
      <c r="J386" s="25" t="str">
        <f>IFERROR(_xlfn.XLOOKUP($E386,$O$35:$O$43,$T$35:$T$43)*G386/$P$9,"")</f>
        <v/>
      </c>
      <c r="K386" s="25" t="str">
        <f>IF(E386=$O$43,($D386/50-$T$43*$P$9)/$P$9,"")</f>
        <v/>
      </c>
      <c r="L386" s="25" t="str">
        <f>IFERROR(($D386/50-_xlfn.XLOOKUP($H386,$O$48:$O$62,$T$48:$T$62)*$P$14)/$P$9,"")</f>
        <v/>
      </c>
      <c r="M386" s="14">
        <f t="shared" si="5"/>
        <v>0</v>
      </c>
    </row>
    <row r="387" spans="2:13" x14ac:dyDescent="0.25">
      <c r="B387" s="10" t="str">
        <f>IF('Importér data'!C398="type",'Importér data'!F398,"")</f>
        <v/>
      </c>
      <c r="C387" s="10">
        <f>'Importér data'!H398</f>
        <v>0</v>
      </c>
      <c r="D387" s="32" t="str">
        <f>IF('Importér data'!C398="type",'Importér data'!N398,"")</f>
        <v/>
      </c>
      <c r="E387" s="24"/>
      <c r="F387" s="45"/>
      <c r="G387" s="45"/>
      <c r="H387" s="24"/>
      <c r="I387" s="25" t="str">
        <f>IFERROR(($D387/50-_xlfn.XLOOKUP($E387,$O$35:$O$43,$T$35:$T$43)*F387)/$P$9,"")</f>
        <v/>
      </c>
      <c r="J387" s="25" t="str">
        <f>IFERROR(_xlfn.XLOOKUP($E387,$O$35:$O$43,$T$35:$T$43)*G387/$P$9,"")</f>
        <v/>
      </c>
      <c r="K387" s="25" t="str">
        <f>IF(E387=$O$43,($D387/50-$T$43*$P$9)/$P$9,"")</f>
        <v/>
      </c>
      <c r="L387" s="25" t="str">
        <f>IFERROR(($D387/50-_xlfn.XLOOKUP($H387,$O$48:$O$62,$T$48:$T$62)*$P$14)/$P$9,"")</f>
        <v/>
      </c>
      <c r="M387" s="14">
        <f t="shared" si="5"/>
        <v>0</v>
      </c>
    </row>
    <row r="388" spans="2:13" x14ac:dyDescent="0.25">
      <c r="B388" s="10" t="str">
        <f>IF('Importér data'!C399="type",'Importér data'!F399,"")</f>
        <v/>
      </c>
      <c r="C388" s="10">
        <f>'Importér data'!H399</f>
        <v>0</v>
      </c>
      <c r="D388" s="32" t="str">
        <f>IF('Importér data'!C399="type",'Importér data'!N399,"")</f>
        <v/>
      </c>
      <c r="E388" s="24"/>
      <c r="F388" s="45"/>
      <c r="G388" s="45"/>
      <c r="H388" s="24"/>
      <c r="I388" s="25" t="str">
        <f>IFERROR(($D388/50-_xlfn.XLOOKUP($E388,$O$35:$O$43,$T$35:$T$43)*F388)/$P$9,"")</f>
        <v/>
      </c>
      <c r="J388" s="25" t="str">
        <f>IFERROR(_xlfn.XLOOKUP($E388,$O$35:$O$43,$T$35:$T$43)*G388/$P$9,"")</f>
        <v/>
      </c>
      <c r="K388" s="25" t="str">
        <f>IF(E388=$O$43,($D388/50-$T$43*$P$9)/$P$9,"")</f>
        <v/>
      </c>
      <c r="L388" s="25" t="str">
        <f>IFERROR(($D388/50-_xlfn.XLOOKUP($H388,$O$48:$O$62,$T$48:$T$62)*$P$14)/$P$9,"")</f>
        <v/>
      </c>
      <c r="M388" s="14">
        <f t="shared" si="5"/>
        <v>0</v>
      </c>
    </row>
    <row r="389" spans="2:13" x14ac:dyDescent="0.25">
      <c r="B389" s="10" t="str">
        <f>IF('Importér data'!C400="type",'Importér data'!F400,"")</f>
        <v/>
      </c>
      <c r="C389" s="10">
        <f>'Importér data'!H400</f>
        <v>0</v>
      </c>
      <c r="D389" s="32" t="str">
        <f>IF('Importér data'!C400="type",'Importér data'!N400,"")</f>
        <v/>
      </c>
      <c r="E389" s="24"/>
      <c r="F389" s="45"/>
      <c r="G389" s="45"/>
      <c r="H389" s="24"/>
      <c r="I389" s="25" t="str">
        <f>IFERROR(($D389/50-_xlfn.XLOOKUP($E389,$O$35:$O$43,$T$35:$T$43)*F389)/$P$9,"")</f>
        <v/>
      </c>
      <c r="J389" s="25" t="str">
        <f>IFERROR(_xlfn.XLOOKUP($E389,$O$35:$O$43,$T$35:$T$43)*G389/$P$9,"")</f>
        <v/>
      </c>
      <c r="K389" s="25" t="str">
        <f>IF(E389=$O$43,($D389/50-$T$43*$P$9)/$P$9,"")</f>
        <v/>
      </c>
      <c r="L389" s="25" t="str">
        <f>IFERROR(($D389/50-_xlfn.XLOOKUP($H389,$O$48:$O$62,$T$48:$T$62)*$P$14)/$P$9,"")</f>
        <v/>
      </c>
      <c r="M389" s="14">
        <f t="shared" si="5"/>
        <v>0</v>
      </c>
    </row>
    <row r="390" spans="2:13" x14ac:dyDescent="0.25">
      <c r="B390" s="10" t="str">
        <f>IF('Importér data'!C401="type",'Importér data'!F401,"")</f>
        <v/>
      </c>
      <c r="C390" s="10">
        <f>'Importér data'!H401</f>
        <v>0</v>
      </c>
      <c r="D390" s="32" t="str">
        <f>IF('Importér data'!C401="type",'Importér data'!N401,"")</f>
        <v/>
      </c>
      <c r="E390" s="24"/>
      <c r="F390" s="45"/>
      <c r="G390" s="45"/>
      <c r="H390" s="24"/>
      <c r="I390" s="25" t="str">
        <f>IFERROR(($D390/50-_xlfn.XLOOKUP($E390,$O$35:$O$43,$T$35:$T$43)*F390)/$P$9,"")</f>
        <v/>
      </c>
      <c r="J390" s="25" t="str">
        <f>IFERROR(_xlfn.XLOOKUP($E390,$O$35:$O$43,$T$35:$T$43)*G390/$P$9,"")</f>
        <v/>
      </c>
      <c r="K390" s="25" t="str">
        <f>IF(E390=$O$43,($D390/50-$T$43*$P$9)/$P$9,"")</f>
        <v/>
      </c>
      <c r="L390" s="25" t="str">
        <f>IFERROR(($D390/50-_xlfn.XLOOKUP($H390,$O$48:$O$62,$T$48:$T$62)*$P$14)/$P$9,"")</f>
        <v/>
      </c>
      <c r="M390" s="14">
        <f t="shared" ref="M390:M453" si="6">SUM(I390:L390)</f>
        <v>0</v>
      </c>
    </row>
    <row r="391" spans="2:13" x14ac:dyDescent="0.25">
      <c r="B391" s="10" t="str">
        <f>IF('Importér data'!C402="type",'Importér data'!F402,"")</f>
        <v/>
      </c>
      <c r="C391" s="10">
        <f>'Importér data'!H402</f>
        <v>0</v>
      </c>
      <c r="D391" s="32" t="str">
        <f>IF('Importér data'!C402="type",'Importér data'!N402,"")</f>
        <v/>
      </c>
      <c r="E391" s="24"/>
      <c r="F391" s="45"/>
      <c r="G391" s="45"/>
      <c r="H391" s="24"/>
      <c r="I391" s="25" t="str">
        <f>IFERROR(($D391/50-_xlfn.XLOOKUP($E391,$O$35:$O$43,$T$35:$T$43)*F391)/$P$9,"")</f>
        <v/>
      </c>
      <c r="J391" s="25" t="str">
        <f>IFERROR(_xlfn.XLOOKUP($E391,$O$35:$O$43,$T$35:$T$43)*G391/$P$9,"")</f>
        <v/>
      </c>
      <c r="K391" s="25" t="str">
        <f>IF(E391=$O$43,($D391/50-$T$43*$P$9)/$P$9,"")</f>
        <v/>
      </c>
      <c r="L391" s="25" t="str">
        <f>IFERROR(($D391/50-_xlfn.XLOOKUP($H391,$O$48:$O$62,$T$48:$T$62)*$P$14)/$P$9,"")</f>
        <v/>
      </c>
      <c r="M391" s="14">
        <f t="shared" si="6"/>
        <v>0</v>
      </c>
    </row>
    <row r="392" spans="2:13" x14ac:dyDescent="0.25">
      <c r="B392" s="10" t="str">
        <f>IF('Importér data'!C403="type",'Importér data'!F403,"")</f>
        <v/>
      </c>
      <c r="C392" s="10">
        <f>'Importér data'!H403</f>
        <v>0</v>
      </c>
      <c r="D392" s="32" t="str">
        <f>IF('Importér data'!C403="type",'Importér data'!N403,"")</f>
        <v/>
      </c>
      <c r="E392" s="24"/>
      <c r="F392" s="45"/>
      <c r="G392" s="45"/>
      <c r="H392" s="24"/>
      <c r="I392" s="25" t="str">
        <f>IFERROR(($D392/50-_xlfn.XLOOKUP($E392,$O$35:$O$43,$T$35:$T$43)*F392)/$P$9,"")</f>
        <v/>
      </c>
      <c r="J392" s="25" t="str">
        <f>IFERROR(_xlfn.XLOOKUP($E392,$O$35:$O$43,$T$35:$T$43)*G392/$P$9,"")</f>
        <v/>
      </c>
      <c r="K392" s="25" t="str">
        <f>IF(E392=$O$43,($D392/50-$T$43*$P$9)/$P$9,"")</f>
        <v/>
      </c>
      <c r="L392" s="25" t="str">
        <f>IFERROR(($D392/50-_xlfn.XLOOKUP($H392,$O$48:$O$62,$T$48:$T$62)*$P$14)/$P$9,"")</f>
        <v/>
      </c>
      <c r="M392" s="14">
        <f t="shared" si="6"/>
        <v>0</v>
      </c>
    </row>
    <row r="393" spans="2:13" x14ac:dyDescent="0.25">
      <c r="B393" s="10" t="str">
        <f>IF('Importér data'!C404="type",'Importér data'!F404,"")</f>
        <v/>
      </c>
      <c r="C393" s="10">
        <f>'Importér data'!H404</f>
        <v>0</v>
      </c>
      <c r="D393" s="32" t="str">
        <f>IF('Importér data'!C404="type",'Importér data'!N404,"")</f>
        <v/>
      </c>
      <c r="E393" s="24"/>
      <c r="F393" s="45"/>
      <c r="G393" s="45"/>
      <c r="H393" s="24"/>
      <c r="I393" s="25" t="str">
        <f>IFERROR(($D393/50-_xlfn.XLOOKUP($E393,$O$35:$O$43,$T$35:$T$43)*F393)/$P$9,"")</f>
        <v/>
      </c>
      <c r="J393" s="25" t="str">
        <f>IFERROR(_xlfn.XLOOKUP($E393,$O$35:$O$43,$T$35:$T$43)*G393/$P$9,"")</f>
        <v/>
      </c>
      <c r="K393" s="25" t="str">
        <f>IF(E393=$O$43,($D393/50-$T$43*$P$9)/$P$9,"")</f>
        <v/>
      </c>
      <c r="L393" s="25" t="str">
        <f>IFERROR(($D393/50-_xlfn.XLOOKUP($H393,$O$48:$O$62,$T$48:$T$62)*$P$14)/$P$9,"")</f>
        <v/>
      </c>
      <c r="M393" s="14">
        <f t="shared" si="6"/>
        <v>0</v>
      </c>
    </row>
    <row r="394" spans="2:13" x14ac:dyDescent="0.25">
      <c r="B394" s="10" t="str">
        <f>IF('Importér data'!C405="type",'Importér data'!F405,"")</f>
        <v/>
      </c>
      <c r="C394" s="10">
        <f>'Importér data'!H405</f>
        <v>0</v>
      </c>
      <c r="D394" s="32" t="str">
        <f>IF('Importér data'!C405="type",'Importér data'!N405,"")</f>
        <v/>
      </c>
      <c r="E394" s="24"/>
      <c r="F394" s="45"/>
      <c r="G394" s="45"/>
      <c r="H394" s="24"/>
      <c r="I394" s="25" t="str">
        <f>IFERROR(($D394/50-_xlfn.XLOOKUP($E394,$O$35:$O$43,$T$35:$T$43)*F394)/$P$9,"")</f>
        <v/>
      </c>
      <c r="J394" s="25" t="str">
        <f>IFERROR(_xlfn.XLOOKUP($E394,$O$35:$O$43,$T$35:$T$43)*G394/$P$9,"")</f>
        <v/>
      </c>
      <c r="K394" s="25" t="str">
        <f>IF(E394=$O$43,($D394/50-$T$43*$P$9)/$P$9,"")</f>
        <v/>
      </c>
      <c r="L394" s="25" t="str">
        <f>IFERROR(($D394/50-_xlfn.XLOOKUP($H394,$O$48:$O$62,$T$48:$T$62)*$P$14)/$P$9,"")</f>
        <v/>
      </c>
      <c r="M394" s="14">
        <f t="shared" si="6"/>
        <v>0</v>
      </c>
    </row>
    <row r="395" spans="2:13" x14ac:dyDescent="0.25">
      <c r="B395" s="10" t="str">
        <f>IF('Importér data'!C406="type",'Importér data'!F406,"")</f>
        <v/>
      </c>
      <c r="C395" s="10">
        <f>'Importér data'!H406</f>
        <v>0</v>
      </c>
      <c r="D395" s="32" t="str">
        <f>IF('Importér data'!C406="type",'Importér data'!N406,"")</f>
        <v/>
      </c>
      <c r="E395" s="24"/>
      <c r="F395" s="45"/>
      <c r="G395" s="45"/>
      <c r="H395" s="24"/>
      <c r="I395" s="25" t="str">
        <f>IFERROR(($D395/50-_xlfn.XLOOKUP($E395,$O$35:$O$43,$T$35:$T$43)*F395)/$P$9,"")</f>
        <v/>
      </c>
      <c r="J395" s="25" t="str">
        <f>IFERROR(_xlfn.XLOOKUP($E395,$O$35:$O$43,$T$35:$T$43)*G395/$P$9,"")</f>
        <v/>
      </c>
      <c r="K395" s="25" t="str">
        <f>IF(E395=$O$43,($D395/50-$T$43*$P$9)/$P$9,"")</f>
        <v/>
      </c>
      <c r="L395" s="25" t="str">
        <f>IFERROR(($D395/50-_xlfn.XLOOKUP($H395,$O$48:$O$62,$T$48:$T$62)*$P$14)/$P$9,"")</f>
        <v/>
      </c>
      <c r="M395" s="14">
        <f t="shared" si="6"/>
        <v>0</v>
      </c>
    </row>
    <row r="396" spans="2:13" x14ac:dyDescent="0.25">
      <c r="B396" s="10" t="str">
        <f>IF('Importér data'!C407="type",'Importér data'!F407,"")</f>
        <v/>
      </c>
      <c r="C396" s="10">
        <f>'Importér data'!H407</f>
        <v>0</v>
      </c>
      <c r="D396" s="32" t="str">
        <f>IF('Importér data'!C407="type",'Importér data'!N407,"")</f>
        <v/>
      </c>
      <c r="E396" s="24"/>
      <c r="F396" s="45"/>
      <c r="G396" s="45"/>
      <c r="H396" s="24"/>
      <c r="I396" s="25" t="str">
        <f>IFERROR(($D396/50-_xlfn.XLOOKUP($E396,$O$35:$O$43,$T$35:$T$43)*F396)/$P$9,"")</f>
        <v/>
      </c>
      <c r="J396" s="25" t="str">
        <f>IFERROR(_xlfn.XLOOKUP($E396,$O$35:$O$43,$T$35:$T$43)*G396/$P$9,"")</f>
        <v/>
      </c>
      <c r="K396" s="25" t="str">
        <f>IF(E396=$O$43,($D396/50-$T$43*$P$9)/$P$9,"")</f>
        <v/>
      </c>
      <c r="L396" s="25" t="str">
        <f>IFERROR(($D396/50-_xlfn.XLOOKUP($H396,$O$48:$O$62,$T$48:$T$62)*$P$14)/$P$9,"")</f>
        <v/>
      </c>
      <c r="M396" s="14">
        <f t="shared" si="6"/>
        <v>0</v>
      </c>
    </row>
    <row r="397" spans="2:13" x14ac:dyDescent="0.25">
      <c r="B397" s="10" t="str">
        <f>IF('Importér data'!C408="type",'Importér data'!F408,"")</f>
        <v/>
      </c>
      <c r="C397" s="10">
        <f>'Importér data'!H408</f>
        <v>0</v>
      </c>
      <c r="D397" s="32" t="str">
        <f>IF('Importér data'!C408="type",'Importér data'!N408,"")</f>
        <v/>
      </c>
      <c r="E397" s="24"/>
      <c r="F397" s="45"/>
      <c r="G397" s="45"/>
      <c r="H397" s="24"/>
      <c r="I397" s="25" t="str">
        <f>IFERROR(($D397/50-_xlfn.XLOOKUP($E397,$O$35:$O$43,$T$35:$T$43)*F397)/$P$9,"")</f>
        <v/>
      </c>
      <c r="J397" s="25" t="str">
        <f>IFERROR(_xlfn.XLOOKUP($E397,$O$35:$O$43,$T$35:$T$43)*G397/$P$9,"")</f>
        <v/>
      </c>
      <c r="K397" s="25" t="str">
        <f>IF(E397=$O$43,($D397/50-$T$43*$P$9)/$P$9,"")</f>
        <v/>
      </c>
      <c r="L397" s="25" t="str">
        <f>IFERROR(($D397/50-_xlfn.XLOOKUP($H397,$O$48:$O$62,$T$48:$T$62)*$P$14)/$P$9,"")</f>
        <v/>
      </c>
      <c r="M397" s="14">
        <f t="shared" si="6"/>
        <v>0</v>
      </c>
    </row>
    <row r="398" spans="2:13" x14ac:dyDescent="0.25">
      <c r="B398" s="10" t="str">
        <f>IF('Importér data'!C409="type",'Importér data'!F409,"")</f>
        <v/>
      </c>
      <c r="C398" s="10">
        <f>'Importér data'!H409</f>
        <v>0</v>
      </c>
      <c r="D398" s="32" t="str">
        <f>IF('Importér data'!C409="type",'Importér data'!N409,"")</f>
        <v/>
      </c>
      <c r="E398" s="24"/>
      <c r="F398" s="45"/>
      <c r="G398" s="45"/>
      <c r="H398" s="24"/>
      <c r="I398" s="25" t="str">
        <f>IFERROR(($D398/50-_xlfn.XLOOKUP($E398,$O$35:$O$43,$T$35:$T$43)*F398)/$P$9,"")</f>
        <v/>
      </c>
      <c r="J398" s="25" t="str">
        <f>IFERROR(_xlfn.XLOOKUP($E398,$O$35:$O$43,$T$35:$T$43)*G398/$P$9,"")</f>
        <v/>
      </c>
      <c r="K398" s="25" t="str">
        <f>IF(E398=$O$43,($D398/50-$T$43*$P$9)/$P$9,"")</f>
        <v/>
      </c>
      <c r="L398" s="25" t="str">
        <f>IFERROR(($D398/50-_xlfn.XLOOKUP($H398,$O$48:$O$62,$T$48:$T$62)*$P$14)/$P$9,"")</f>
        <v/>
      </c>
      <c r="M398" s="14">
        <f t="shared" si="6"/>
        <v>0</v>
      </c>
    </row>
    <row r="399" spans="2:13" x14ac:dyDescent="0.25">
      <c r="B399" s="10" t="str">
        <f>IF('Importér data'!C410="type",'Importér data'!F410,"")</f>
        <v/>
      </c>
      <c r="C399" s="10">
        <f>'Importér data'!H410</f>
        <v>0</v>
      </c>
      <c r="D399" s="32" t="str">
        <f>IF('Importér data'!C410="type",'Importér data'!N410,"")</f>
        <v/>
      </c>
      <c r="E399" s="24"/>
      <c r="F399" s="45"/>
      <c r="G399" s="45"/>
      <c r="H399" s="24"/>
      <c r="I399" s="25" t="str">
        <f>IFERROR(($D399/50-_xlfn.XLOOKUP($E399,$O$35:$O$43,$T$35:$T$43)*F399)/$P$9,"")</f>
        <v/>
      </c>
      <c r="J399" s="25" t="str">
        <f>IFERROR(_xlfn.XLOOKUP($E399,$O$35:$O$43,$T$35:$T$43)*G399/$P$9,"")</f>
        <v/>
      </c>
      <c r="K399" s="25" t="str">
        <f>IF(E399=$O$43,($D399/50-$T$43*$P$9)/$P$9,"")</f>
        <v/>
      </c>
      <c r="L399" s="25" t="str">
        <f>IFERROR(($D399/50-_xlfn.XLOOKUP($H399,$O$48:$O$62,$T$48:$T$62)*$P$14)/$P$9,"")</f>
        <v/>
      </c>
      <c r="M399" s="14">
        <f t="shared" si="6"/>
        <v>0</v>
      </c>
    </row>
    <row r="400" spans="2:13" x14ac:dyDescent="0.25">
      <c r="B400" s="10" t="str">
        <f>IF('Importér data'!C411="type",'Importér data'!F411,"")</f>
        <v/>
      </c>
      <c r="C400" s="10">
        <f>'Importér data'!H411</f>
        <v>0</v>
      </c>
      <c r="D400" s="32" t="str">
        <f>IF('Importér data'!C411="type",'Importér data'!N411,"")</f>
        <v/>
      </c>
      <c r="E400" s="24"/>
      <c r="F400" s="45"/>
      <c r="G400" s="45"/>
      <c r="H400" s="24"/>
      <c r="I400" s="25" t="str">
        <f>IFERROR(($D400/50-_xlfn.XLOOKUP($E400,$O$35:$O$43,$T$35:$T$43)*F400)/$P$9,"")</f>
        <v/>
      </c>
      <c r="J400" s="25" t="str">
        <f>IFERROR(_xlfn.XLOOKUP($E400,$O$35:$O$43,$T$35:$T$43)*G400/$P$9,"")</f>
        <v/>
      </c>
      <c r="K400" s="25" t="str">
        <f>IF(E400=$O$43,($D400/50-$T$43*$P$9)/$P$9,"")</f>
        <v/>
      </c>
      <c r="L400" s="25" t="str">
        <f>IFERROR(($D400/50-_xlfn.XLOOKUP($H400,$O$48:$O$62,$T$48:$T$62)*$P$14)/$P$9,"")</f>
        <v/>
      </c>
      <c r="M400" s="14">
        <f t="shared" si="6"/>
        <v>0</v>
      </c>
    </row>
    <row r="401" spans="2:13" x14ac:dyDescent="0.25">
      <c r="B401" s="10" t="str">
        <f>IF('Importér data'!C412="type",'Importér data'!F412,"")</f>
        <v/>
      </c>
      <c r="C401" s="10">
        <f>'Importér data'!H412</f>
        <v>0</v>
      </c>
      <c r="D401" s="32" t="str">
        <f>IF('Importér data'!C412="type",'Importér data'!N412,"")</f>
        <v/>
      </c>
      <c r="E401" s="24"/>
      <c r="F401" s="45"/>
      <c r="G401" s="45"/>
      <c r="H401" s="24"/>
      <c r="I401" s="25" t="str">
        <f>IFERROR(($D401/50-_xlfn.XLOOKUP($E401,$O$35:$O$43,$T$35:$T$43)*F401)/$P$9,"")</f>
        <v/>
      </c>
      <c r="J401" s="25" t="str">
        <f>IFERROR(_xlfn.XLOOKUP($E401,$O$35:$O$43,$T$35:$T$43)*G401/$P$9,"")</f>
        <v/>
      </c>
      <c r="K401" s="25" t="str">
        <f>IF(E401=$O$43,($D401/50-$T$43*$P$9)/$P$9,"")</f>
        <v/>
      </c>
      <c r="L401" s="25" t="str">
        <f>IFERROR(($D401/50-_xlfn.XLOOKUP($H401,$O$48:$O$62,$T$48:$T$62)*$P$14)/$P$9,"")</f>
        <v/>
      </c>
      <c r="M401" s="14">
        <f t="shared" si="6"/>
        <v>0</v>
      </c>
    </row>
    <row r="402" spans="2:13" x14ac:dyDescent="0.25">
      <c r="B402" s="10" t="str">
        <f>IF('Importér data'!C413="type",'Importér data'!F413,"")</f>
        <v/>
      </c>
      <c r="C402" s="10">
        <f>'Importér data'!H413</f>
        <v>0</v>
      </c>
      <c r="D402" s="32" t="str">
        <f>IF('Importér data'!C413="type",'Importér data'!N413,"")</f>
        <v/>
      </c>
      <c r="E402" s="24"/>
      <c r="F402" s="45"/>
      <c r="G402" s="45"/>
      <c r="H402" s="24"/>
      <c r="I402" s="25" t="str">
        <f>IFERROR(($D402/50-_xlfn.XLOOKUP($E402,$O$35:$O$43,$T$35:$T$43)*F402)/$P$9,"")</f>
        <v/>
      </c>
      <c r="J402" s="25" t="str">
        <f>IFERROR(_xlfn.XLOOKUP($E402,$O$35:$O$43,$T$35:$T$43)*G402/$P$9,"")</f>
        <v/>
      </c>
      <c r="K402" s="25" t="str">
        <f>IF(E402=$O$43,($D402/50-$T$43*$P$9)/$P$9,"")</f>
        <v/>
      </c>
      <c r="L402" s="25" t="str">
        <f>IFERROR(($D402/50-_xlfn.XLOOKUP($H402,$O$48:$O$62,$T$48:$T$62)*$P$14)/$P$9,"")</f>
        <v/>
      </c>
      <c r="M402" s="14">
        <f t="shared" si="6"/>
        <v>0</v>
      </c>
    </row>
    <row r="403" spans="2:13" x14ac:dyDescent="0.25">
      <c r="B403" s="10" t="str">
        <f>IF('Importér data'!C414="type",'Importér data'!F414,"")</f>
        <v/>
      </c>
      <c r="C403" s="10">
        <f>'Importér data'!H414</f>
        <v>0</v>
      </c>
      <c r="D403" s="32" t="str">
        <f>IF('Importér data'!C414="type",'Importér data'!N414,"")</f>
        <v/>
      </c>
      <c r="E403" s="24"/>
      <c r="F403" s="45"/>
      <c r="G403" s="45"/>
      <c r="H403" s="24"/>
      <c r="I403" s="25" t="str">
        <f>IFERROR(($D403/50-_xlfn.XLOOKUP($E403,$O$35:$O$43,$T$35:$T$43)*F403)/$P$9,"")</f>
        <v/>
      </c>
      <c r="J403" s="25" t="str">
        <f>IFERROR(_xlfn.XLOOKUP($E403,$O$35:$O$43,$T$35:$T$43)*G403/$P$9,"")</f>
        <v/>
      </c>
      <c r="K403" s="25" t="str">
        <f>IF(E403=$O$43,($D403/50-$T$43*$P$9)/$P$9,"")</f>
        <v/>
      </c>
      <c r="L403" s="25" t="str">
        <f>IFERROR(($D403/50-_xlfn.XLOOKUP($H403,$O$48:$O$62,$T$48:$T$62)*$P$14)/$P$9,"")</f>
        <v/>
      </c>
      <c r="M403" s="14">
        <f t="shared" si="6"/>
        <v>0</v>
      </c>
    </row>
    <row r="404" spans="2:13" x14ac:dyDescent="0.25">
      <c r="B404" s="10" t="str">
        <f>IF('Importér data'!C415="type",'Importér data'!F415,"")</f>
        <v/>
      </c>
      <c r="C404" s="10">
        <f>'Importér data'!H415</f>
        <v>0</v>
      </c>
      <c r="D404" s="32" t="str">
        <f>IF('Importér data'!C415="type",'Importér data'!N415,"")</f>
        <v/>
      </c>
      <c r="E404" s="24"/>
      <c r="F404" s="45"/>
      <c r="G404" s="45"/>
      <c r="H404" s="24"/>
      <c r="I404" s="25" t="str">
        <f>IFERROR(($D404/50-_xlfn.XLOOKUP($E404,$O$35:$O$43,$T$35:$T$43)*F404)/$P$9,"")</f>
        <v/>
      </c>
      <c r="J404" s="25" t="str">
        <f>IFERROR(_xlfn.XLOOKUP($E404,$O$35:$O$43,$T$35:$T$43)*G404/$P$9,"")</f>
        <v/>
      </c>
      <c r="K404" s="25" t="str">
        <f>IF(E404=$O$43,($D404/50-$T$43*$P$9)/$P$9,"")</f>
        <v/>
      </c>
      <c r="L404" s="25" t="str">
        <f>IFERROR(($D404/50-_xlfn.XLOOKUP($H404,$O$48:$O$62,$T$48:$T$62)*$P$14)/$P$9,"")</f>
        <v/>
      </c>
      <c r="M404" s="14">
        <f t="shared" si="6"/>
        <v>0</v>
      </c>
    </row>
    <row r="405" spans="2:13" x14ac:dyDescent="0.25">
      <c r="B405" s="10" t="str">
        <f>IF('Importér data'!C416="type",'Importér data'!F416,"")</f>
        <v/>
      </c>
      <c r="C405" s="10">
        <f>'Importér data'!H416</f>
        <v>0</v>
      </c>
      <c r="D405" s="32" t="str">
        <f>IF('Importér data'!C416="type",'Importér data'!N416,"")</f>
        <v/>
      </c>
      <c r="E405" s="24"/>
      <c r="F405" s="45"/>
      <c r="G405" s="45"/>
      <c r="H405" s="24"/>
      <c r="I405" s="25" t="str">
        <f>IFERROR(($D405/50-_xlfn.XLOOKUP($E405,$O$35:$O$43,$T$35:$T$43)*F405)/$P$9,"")</f>
        <v/>
      </c>
      <c r="J405" s="25" t="str">
        <f>IFERROR(_xlfn.XLOOKUP($E405,$O$35:$O$43,$T$35:$T$43)*G405/$P$9,"")</f>
        <v/>
      </c>
      <c r="K405" s="25" t="str">
        <f>IF(E405=$O$43,($D405/50-$T$43*$P$9)/$P$9,"")</f>
        <v/>
      </c>
      <c r="L405" s="25" t="str">
        <f>IFERROR(($D405/50-_xlfn.XLOOKUP($H405,$O$48:$O$62,$T$48:$T$62)*$P$14)/$P$9,"")</f>
        <v/>
      </c>
      <c r="M405" s="14">
        <f t="shared" si="6"/>
        <v>0</v>
      </c>
    </row>
    <row r="406" spans="2:13" x14ac:dyDescent="0.25">
      <c r="B406" s="10" t="str">
        <f>IF('Importér data'!C417="type",'Importér data'!F417,"")</f>
        <v/>
      </c>
      <c r="C406" s="10">
        <f>'Importér data'!H417</f>
        <v>0</v>
      </c>
      <c r="D406" s="32" t="str">
        <f>IF('Importér data'!C417="type",'Importér data'!N417,"")</f>
        <v/>
      </c>
      <c r="E406" s="24"/>
      <c r="F406" s="45"/>
      <c r="G406" s="45"/>
      <c r="H406" s="24"/>
      <c r="I406" s="25" t="str">
        <f>IFERROR(($D406/50-_xlfn.XLOOKUP($E406,$O$35:$O$43,$T$35:$T$43)*F406)/$P$9,"")</f>
        <v/>
      </c>
      <c r="J406" s="25" t="str">
        <f>IFERROR(_xlfn.XLOOKUP($E406,$O$35:$O$43,$T$35:$T$43)*G406/$P$9,"")</f>
        <v/>
      </c>
      <c r="K406" s="25" t="str">
        <f>IF(E406=$O$43,($D406/50-$T$43*$P$9)/$P$9,"")</f>
        <v/>
      </c>
      <c r="L406" s="25" t="str">
        <f>IFERROR(($D406/50-_xlfn.XLOOKUP($H406,$O$48:$O$62,$T$48:$T$62)*$P$14)/$P$9,"")</f>
        <v/>
      </c>
      <c r="M406" s="14">
        <f t="shared" si="6"/>
        <v>0</v>
      </c>
    </row>
    <row r="407" spans="2:13" x14ac:dyDescent="0.25">
      <c r="B407" s="10" t="str">
        <f>IF('Importér data'!C418="type",'Importér data'!F418,"")</f>
        <v/>
      </c>
      <c r="C407" s="10">
        <f>'Importér data'!H418</f>
        <v>0</v>
      </c>
      <c r="D407" s="32" t="str">
        <f>IF('Importér data'!C418="type",'Importér data'!N418,"")</f>
        <v/>
      </c>
      <c r="E407" s="24"/>
      <c r="F407" s="45"/>
      <c r="G407" s="45"/>
      <c r="H407" s="24"/>
      <c r="I407" s="25" t="str">
        <f>IFERROR(($D407/50-_xlfn.XLOOKUP($E407,$O$35:$O$43,$T$35:$T$43)*F407)/$P$9,"")</f>
        <v/>
      </c>
      <c r="J407" s="25" t="str">
        <f>IFERROR(_xlfn.XLOOKUP($E407,$O$35:$O$43,$T$35:$T$43)*G407/$P$9,"")</f>
        <v/>
      </c>
      <c r="K407" s="25" t="str">
        <f>IF(E407=$O$43,($D407/50-$T$43*$P$9)/$P$9,"")</f>
        <v/>
      </c>
      <c r="L407" s="25" t="str">
        <f>IFERROR(($D407/50-_xlfn.XLOOKUP($H407,$O$48:$O$62,$T$48:$T$62)*$P$14)/$P$9,"")</f>
        <v/>
      </c>
      <c r="M407" s="14">
        <f t="shared" si="6"/>
        <v>0</v>
      </c>
    </row>
    <row r="408" spans="2:13" x14ac:dyDescent="0.25">
      <c r="B408" s="10" t="str">
        <f>IF('Importér data'!C419="type",'Importér data'!F419,"")</f>
        <v/>
      </c>
      <c r="C408" s="10">
        <f>'Importér data'!H419</f>
        <v>0</v>
      </c>
      <c r="D408" s="32" t="str">
        <f>IF('Importér data'!C419="type",'Importér data'!N419,"")</f>
        <v/>
      </c>
      <c r="E408" s="24"/>
      <c r="F408" s="45"/>
      <c r="G408" s="45"/>
      <c r="H408" s="24"/>
      <c r="I408" s="25" t="str">
        <f>IFERROR(($D408/50-_xlfn.XLOOKUP($E408,$O$35:$O$43,$T$35:$T$43)*F408)/$P$9,"")</f>
        <v/>
      </c>
      <c r="J408" s="25" t="str">
        <f>IFERROR(_xlfn.XLOOKUP($E408,$O$35:$O$43,$T$35:$T$43)*G408/$P$9,"")</f>
        <v/>
      </c>
      <c r="K408" s="25" t="str">
        <f>IF(E408=$O$43,($D408/50-$T$43*$P$9)/$P$9,"")</f>
        <v/>
      </c>
      <c r="L408" s="25" t="str">
        <f>IFERROR(($D408/50-_xlfn.XLOOKUP($H408,$O$48:$O$62,$T$48:$T$62)*$P$14)/$P$9,"")</f>
        <v/>
      </c>
      <c r="M408" s="14">
        <f t="shared" si="6"/>
        <v>0</v>
      </c>
    </row>
    <row r="409" spans="2:13" x14ac:dyDescent="0.25">
      <c r="B409" s="10" t="str">
        <f>IF('Importér data'!C420="type",'Importér data'!F420,"")</f>
        <v/>
      </c>
      <c r="C409" s="10">
        <f>'Importér data'!H420</f>
        <v>0</v>
      </c>
      <c r="D409" s="32" t="str">
        <f>IF('Importér data'!C420="type",'Importér data'!N420,"")</f>
        <v/>
      </c>
      <c r="E409" s="24"/>
      <c r="F409" s="45"/>
      <c r="G409" s="45"/>
      <c r="H409" s="24"/>
      <c r="I409" s="25" t="str">
        <f>IFERROR(($D409/50-_xlfn.XLOOKUP($E409,$O$35:$O$43,$T$35:$T$43)*F409)/$P$9,"")</f>
        <v/>
      </c>
      <c r="J409" s="25" t="str">
        <f>IFERROR(_xlfn.XLOOKUP($E409,$O$35:$O$43,$T$35:$T$43)*G409/$P$9,"")</f>
        <v/>
      </c>
      <c r="K409" s="25" t="str">
        <f>IF(E409=$O$43,($D409/50-$T$43*$P$9)/$P$9,"")</f>
        <v/>
      </c>
      <c r="L409" s="25" t="str">
        <f>IFERROR(($D409/50-_xlfn.XLOOKUP($H409,$O$48:$O$62,$T$48:$T$62)*$P$14)/$P$9,"")</f>
        <v/>
      </c>
      <c r="M409" s="14">
        <f t="shared" si="6"/>
        <v>0</v>
      </c>
    </row>
    <row r="410" spans="2:13" x14ac:dyDescent="0.25">
      <c r="B410" s="10" t="str">
        <f>IF('Importér data'!C421="type",'Importér data'!F421,"")</f>
        <v/>
      </c>
      <c r="C410" s="10">
        <f>'Importér data'!H421</f>
        <v>0</v>
      </c>
      <c r="D410" s="32" t="str">
        <f>IF('Importér data'!C421="type",'Importér data'!N421,"")</f>
        <v/>
      </c>
      <c r="E410" s="24"/>
      <c r="F410" s="45"/>
      <c r="G410" s="45"/>
      <c r="H410" s="24"/>
      <c r="I410" s="25" t="str">
        <f>IFERROR(($D410/50-_xlfn.XLOOKUP($E410,$O$35:$O$43,$T$35:$T$43)*F410)/$P$9,"")</f>
        <v/>
      </c>
      <c r="J410" s="25" t="str">
        <f>IFERROR(_xlfn.XLOOKUP($E410,$O$35:$O$43,$T$35:$T$43)*G410/$P$9,"")</f>
        <v/>
      </c>
      <c r="K410" s="25" t="str">
        <f>IF(E410=$O$43,($D410/50-$T$43*$P$9)/$P$9,"")</f>
        <v/>
      </c>
      <c r="L410" s="25" t="str">
        <f>IFERROR(($D410/50-_xlfn.XLOOKUP($H410,$O$48:$O$62,$T$48:$T$62)*$P$14)/$P$9,"")</f>
        <v/>
      </c>
      <c r="M410" s="14">
        <f t="shared" si="6"/>
        <v>0</v>
      </c>
    </row>
    <row r="411" spans="2:13" x14ac:dyDescent="0.25">
      <c r="B411" s="10" t="str">
        <f>IF('Importér data'!C422="type",'Importér data'!F422,"")</f>
        <v/>
      </c>
      <c r="C411" s="10">
        <f>'Importér data'!H422</f>
        <v>0</v>
      </c>
      <c r="D411" s="32" t="str">
        <f>IF('Importér data'!C422="type",'Importér data'!N422,"")</f>
        <v/>
      </c>
      <c r="E411" s="24"/>
      <c r="F411" s="45"/>
      <c r="G411" s="45"/>
      <c r="H411" s="24"/>
      <c r="I411" s="25" t="str">
        <f>IFERROR(($D411/50-_xlfn.XLOOKUP($E411,$O$35:$O$43,$T$35:$T$43)*F411)/$P$9,"")</f>
        <v/>
      </c>
      <c r="J411" s="25" t="str">
        <f>IFERROR(_xlfn.XLOOKUP($E411,$O$35:$O$43,$T$35:$T$43)*G411/$P$9,"")</f>
        <v/>
      </c>
      <c r="K411" s="25" t="str">
        <f>IF(E411=$O$43,($D411/50-$T$43*$P$9)/$P$9,"")</f>
        <v/>
      </c>
      <c r="L411" s="25" t="str">
        <f>IFERROR(($D411/50-_xlfn.XLOOKUP($H411,$O$48:$O$62,$T$48:$T$62)*$P$14)/$P$9,"")</f>
        <v/>
      </c>
      <c r="M411" s="14">
        <f t="shared" si="6"/>
        <v>0</v>
      </c>
    </row>
    <row r="412" spans="2:13" x14ac:dyDescent="0.25">
      <c r="B412" s="10" t="str">
        <f>IF('Importér data'!C423="type",'Importér data'!F423,"")</f>
        <v/>
      </c>
      <c r="C412" s="10">
        <f>'Importér data'!H423</f>
        <v>0</v>
      </c>
      <c r="D412" s="32" t="str">
        <f>IF('Importér data'!C423="type",'Importér data'!N423,"")</f>
        <v/>
      </c>
      <c r="E412" s="24"/>
      <c r="F412" s="45"/>
      <c r="G412" s="45"/>
      <c r="H412" s="24"/>
      <c r="I412" s="25" t="str">
        <f>IFERROR(($D412/50-_xlfn.XLOOKUP($E412,$O$35:$O$43,$T$35:$T$43)*F412)/$P$9,"")</f>
        <v/>
      </c>
      <c r="J412" s="25" t="str">
        <f>IFERROR(_xlfn.XLOOKUP($E412,$O$35:$O$43,$T$35:$T$43)*G412/$P$9,"")</f>
        <v/>
      </c>
      <c r="K412" s="25" t="str">
        <f>IF(E412=$O$43,($D412/50-$T$43*$P$9)/$P$9,"")</f>
        <v/>
      </c>
      <c r="L412" s="25" t="str">
        <f>IFERROR(($D412/50-_xlfn.XLOOKUP($H412,$O$48:$O$62,$T$48:$T$62)*$P$14)/$P$9,"")</f>
        <v/>
      </c>
      <c r="M412" s="14">
        <f t="shared" si="6"/>
        <v>0</v>
      </c>
    </row>
    <row r="413" spans="2:13" x14ac:dyDescent="0.25">
      <c r="B413" s="10" t="str">
        <f>IF('Importér data'!C424="type",'Importér data'!F424,"")</f>
        <v/>
      </c>
      <c r="C413" s="10">
        <f>'Importér data'!H424</f>
        <v>0</v>
      </c>
      <c r="D413" s="32" t="str">
        <f>IF('Importér data'!C424="type",'Importér data'!N424,"")</f>
        <v/>
      </c>
      <c r="E413" s="24"/>
      <c r="F413" s="45"/>
      <c r="G413" s="45"/>
      <c r="H413" s="24"/>
      <c r="I413" s="25" t="str">
        <f>IFERROR(($D413/50-_xlfn.XLOOKUP($E413,$O$35:$O$43,$T$35:$T$43)*F413)/$P$9,"")</f>
        <v/>
      </c>
      <c r="J413" s="25" t="str">
        <f>IFERROR(_xlfn.XLOOKUP($E413,$O$35:$O$43,$T$35:$T$43)*G413/$P$9,"")</f>
        <v/>
      </c>
      <c r="K413" s="25" t="str">
        <f>IF(E413=$O$43,($D413/50-$T$43*$P$9)/$P$9,"")</f>
        <v/>
      </c>
      <c r="L413" s="25" t="str">
        <f>IFERROR(($D413/50-_xlfn.XLOOKUP($H413,$O$48:$O$62,$T$48:$T$62)*$P$14)/$P$9,"")</f>
        <v/>
      </c>
      <c r="M413" s="14">
        <f t="shared" si="6"/>
        <v>0</v>
      </c>
    </row>
    <row r="414" spans="2:13" x14ac:dyDescent="0.25">
      <c r="B414" s="10" t="str">
        <f>IF('Importér data'!C425="type",'Importér data'!F425,"")</f>
        <v/>
      </c>
      <c r="C414" s="10">
        <f>'Importér data'!H425</f>
        <v>0</v>
      </c>
      <c r="D414" s="32" t="str">
        <f>IF('Importér data'!C425="type",'Importér data'!N425,"")</f>
        <v/>
      </c>
      <c r="E414" s="24"/>
      <c r="F414" s="45"/>
      <c r="G414" s="45"/>
      <c r="H414" s="24"/>
      <c r="I414" s="25" t="str">
        <f>IFERROR(($D414/50-_xlfn.XLOOKUP($E414,$O$35:$O$43,$T$35:$T$43)*F414)/$P$9,"")</f>
        <v/>
      </c>
      <c r="J414" s="25" t="str">
        <f>IFERROR(_xlfn.XLOOKUP($E414,$O$35:$O$43,$T$35:$T$43)*G414/$P$9,"")</f>
        <v/>
      </c>
      <c r="K414" s="25" t="str">
        <f>IF(E414=$O$43,($D414/50-$T$43*$P$9)/$P$9,"")</f>
        <v/>
      </c>
      <c r="L414" s="25" t="str">
        <f>IFERROR(($D414/50-_xlfn.XLOOKUP($H414,$O$48:$O$62,$T$48:$T$62)*$P$14)/$P$9,"")</f>
        <v/>
      </c>
      <c r="M414" s="14">
        <f t="shared" si="6"/>
        <v>0</v>
      </c>
    </row>
    <row r="415" spans="2:13" x14ac:dyDescent="0.25">
      <c r="B415" s="10" t="str">
        <f>IF('Importér data'!C426="type",'Importér data'!F426,"")</f>
        <v/>
      </c>
      <c r="C415" s="10">
        <f>'Importér data'!H426</f>
        <v>0</v>
      </c>
      <c r="D415" s="32" t="str">
        <f>IF('Importér data'!C426="type",'Importér data'!N426,"")</f>
        <v/>
      </c>
      <c r="E415" s="24"/>
      <c r="F415" s="45"/>
      <c r="G415" s="45"/>
      <c r="H415" s="24"/>
      <c r="I415" s="25" t="str">
        <f>IFERROR(($D415/50-_xlfn.XLOOKUP($E415,$O$35:$O$43,$T$35:$T$43)*F415)/$P$9,"")</f>
        <v/>
      </c>
      <c r="J415" s="25" t="str">
        <f>IFERROR(_xlfn.XLOOKUP($E415,$O$35:$O$43,$T$35:$T$43)*G415/$P$9,"")</f>
        <v/>
      </c>
      <c r="K415" s="25" t="str">
        <f>IF(E415=$O$43,($D415/50-$T$43*$P$9)/$P$9,"")</f>
        <v/>
      </c>
      <c r="L415" s="25" t="str">
        <f>IFERROR(($D415/50-_xlfn.XLOOKUP($H415,$O$48:$O$62,$T$48:$T$62)*$P$14)/$P$9,"")</f>
        <v/>
      </c>
      <c r="M415" s="14">
        <f t="shared" si="6"/>
        <v>0</v>
      </c>
    </row>
    <row r="416" spans="2:13" x14ac:dyDescent="0.25">
      <c r="B416" s="10" t="str">
        <f>IF('Importér data'!C427="type",'Importér data'!F427,"")</f>
        <v/>
      </c>
      <c r="C416" s="10">
        <f>'Importér data'!H427</f>
        <v>0</v>
      </c>
      <c r="D416" s="32" t="str">
        <f>IF('Importér data'!C427="type",'Importér data'!N427,"")</f>
        <v/>
      </c>
      <c r="E416" s="24"/>
      <c r="F416" s="45"/>
      <c r="G416" s="45"/>
      <c r="H416" s="24"/>
      <c r="I416" s="25" t="str">
        <f>IFERROR(($D416/50-_xlfn.XLOOKUP($E416,$O$35:$O$43,$T$35:$T$43)*F416)/$P$9,"")</f>
        <v/>
      </c>
      <c r="J416" s="25" t="str">
        <f>IFERROR(_xlfn.XLOOKUP($E416,$O$35:$O$43,$T$35:$T$43)*G416/$P$9,"")</f>
        <v/>
      </c>
      <c r="K416" s="25" t="str">
        <f>IF(E416=$O$43,($D416/50-$T$43*$P$9)/$P$9,"")</f>
        <v/>
      </c>
      <c r="L416" s="25" t="str">
        <f>IFERROR(($D416/50-_xlfn.XLOOKUP($H416,$O$48:$O$62,$T$48:$T$62)*$P$14)/$P$9,"")</f>
        <v/>
      </c>
      <c r="M416" s="14">
        <f t="shared" si="6"/>
        <v>0</v>
      </c>
    </row>
    <row r="417" spans="2:13" x14ac:dyDescent="0.25">
      <c r="B417" s="10" t="str">
        <f>IF('Importér data'!C428="type",'Importér data'!F428,"")</f>
        <v/>
      </c>
      <c r="C417" s="10">
        <f>'Importér data'!H428</f>
        <v>0</v>
      </c>
      <c r="D417" s="32" t="str">
        <f>IF('Importér data'!C428="type",'Importér data'!N428,"")</f>
        <v/>
      </c>
      <c r="E417" s="24"/>
      <c r="F417" s="45"/>
      <c r="G417" s="45"/>
      <c r="H417" s="24"/>
      <c r="I417" s="25" t="str">
        <f>IFERROR(($D417/50-_xlfn.XLOOKUP($E417,$O$35:$O$43,$T$35:$T$43)*F417)/$P$9,"")</f>
        <v/>
      </c>
      <c r="J417" s="25" t="str">
        <f>IFERROR(_xlfn.XLOOKUP($E417,$O$35:$O$43,$T$35:$T$43)*G417/$P$9,"")</f>
        <v/>
      </c>
      <c r="K417" s="25" t="str">
        <f>IF(E417=$O$43,($D417/50-$T$43*$P$9)/$P$9,"")</f>
        <v/>
      </c>
      <c r="L417" s="25" t="str">
        <f>IFERROR(($D417/50-_xlfn.XLOOKUP($H417,$O$48:$O$62,$T$48:$T$62)*$P$14)/$P$9,"")</f>
        <v/>
      </c>
      <c r="M417" s="14">
        <f t="shared" si="6"/>
        <v>0</v>
      </c>
    </row>
    <row r="418" spans="2:13" x14ac:dyDescent="0.25">
      <c r="B418" s="10" t="str">
        <f>IF('Importér data'!C429="type",'Importér data'!F429,"")</f>
        <v/>
      </c>
      <c r="C418" s="10">
        <f>'Importér data'!H429</f>
        <v>0</v>
      </c>
      <c r="D418" s="32" t="str">
        <f>IF('Importér data'!C429="type",'Importér data'!N429,"")</f>
        <v/>
      </c>
      <c r="E418" s="24"/>
      <c r="F418" s="45"/>
      <c r="G418" s="45"/>
      <c r="H418" s="24"/>
      <c r="I418" s="25" t="str">
        <f>IFERROR(($D418/50-_xlfn.XLOOKUP($E418,$O$35:$O$43,$T$35:$T$43)*F418)/$P$9,"")</f>
        <v/>
      </c>
      <c r="J418" s="25" t="str">
        <f>IFERROR(_xlfn.XLOOKUP($E418,$O$35:$O$43,$T$35:$T$43)*G418/$P$9,"")</f>
        <v/>
      </c>
      <c r="K418" s="25" t="str">
        <f>IF(E418=$O$43,($D418/50-$T$43*$P$9)/$P$9,"")</f>
        <v/>
      </c>
      <c r="L418" s="25" t="str">
        <f>IFERROR(($D418/50-_xlfn.XLOOKUP($H418,$O$48:$O$62,$T$48:$T$62)*$P$14)/$P$9,"")</f>
        <v/>
      </c>
      <c r="M418" s="14">
        <f t="shared" si="6"/>
        <v>0</v>
      </c>
    </row>
    <row r="419" spans="2:13" x14ac:dyDescent="0.25">
      <c r="B419" s="10" t="str">
        <f>IF('Importér data'!C430="type",'Importér data'!F430,"")</f>
        <v/>
      </c>
      <c r="C419" s="10">
        <f>'Importér data'!H430</f>
        <v>0</v>
      </c>
      <c r="D419" s="32" t="str">
        <f>IF('Importér data'!C430="type",'Importér data'!N430,"")</f>
        <v/>
      </c>
      <c r="E419" s="24"/>
      <c r="F419" s="45"/>
      <c r="G419" s="45"/>
      <c r="H419" s="24"/>
      <c r="I419" s="25" t="str">
        <f>IFERROR(($D419/50-_xlfn.XLOOKUP($E419,$O$35:$O$43,$T$35:$T$43)*F419)/$P$9,"")</f>
        <v/>
      </c>
      <c r="J419" s="25" t="str">
        <f>IFERROR(_xlfn.XLOOKUP($E419,$O$35:$O$43,$T$35:$T$43)*G419/$P$9,"")</f>
        <v/>
      </c>
      <c r="K419" s="25" t="str">
        <f>IF(E419=$O$43,($D419/50-$T$43*$P$9)/$P$9,"")</f>
        <v/>
      </c>
      <c r="L419" s="25" t="str">
        <f>IFERROR(($D419/50-_xlfn.XLOOKUP($H419,$O$48:$O$62,$T$48:$T$62)*$P$14)/$P$9,"")</f>
        <v/>
      </c>
      <c r="M419" s="14">
        <f t="shared" si="6"/>
        <v>0</v>
      </c>
    </row>
    <row r="420" spans="2:13" x14ac:dyDescent="0.25">
      <c r="B420" s="10" t="str">
        <f>IF('Importér data'!C431="type",'Importér data'!F431,"")</f>
        <v/>
      </c>
      <c r="C420" s="10">
        <f>'Importér data'!H431</f>
        <v>0</v>
      </c>
      <c r="D420" s="32" t="str">
        <f>IF('Importér data'!C431="type",'Importér data'!N431,"")</f>
        <v/>
      </c>
      <c r="E420" s="24"/>
      <c r="F420" s="45"/>
      <c r="G420" s="45"/>
      <c r="H420" s="24"/>
      <c r="I420" s="25" t="str">
        <f>IFERROR(($D420/50-_xlfn.XLOOKUP($E420,$O$35:$O$43,$T$35:$T$43)*F420)/$P$9,"")</f>
        <v/>
      </c>
      <c r="J420" s="25" t="str">
        <f>IFERROR(_xlfn.XLOOKUP($E420,$O$35:$O$43,$T$35:$T$43)*G420/$P$9,"")</f>
        <v/>
      </c>
      <c r="K420" s="25" t="str">
        <f>IF(E420=$O$43,($D420/50-$T$43*$P$9)/$P$9,"")</f>
        <v/>
      </c>
      <c r="L420" s="25" t="str">
        <f>IFERROR(($D420/50-_xlfn.XLOOKUP($H420,$O$48:$O$62,$T$48:$T$62)*$P$14)/$P$9,"")</f>
        <v/>
      </c>
      <c r="M420" s="14">
        <f t="shared" si="6"/>
        <v>0</v>
      </c>
    </row>
    <row r="421" spans="2:13" x14ac:dyDescent="0.25">
      <c r="B421" s="10" t="str">
        <f>IF('Importér data'!C432="type",'Importér data'!F432,"")</f>
        <v/>
      </c>
      <c r="C421" s="10">
        <f>'Importér data'!H432</f>
        <v>0</v>
      </c>
      <c r="D421" s="32" t="str">
        <f>IF('Importér data'!C432="type",'Importér data'!N432,"")</f>
        <v/>
      </c>
      <c r="E421" s="24"/>
      <c r="F421" s="45"/>
      <c r="G421" s="45"/>
      <c r="H421" s="24"/>
      <c r="I421" s="25" t="str">
        <f>IFERROR(($D421/50-_xlfn.XLOOKUP($E421,$O$35:$O$43,$T$35:$T$43)*F421)/$P$9,"")</f>
        <v/>
      </c>
      <c r="J421" s="25" t="str">
        <f>IFERROR(_xlfn.XLOOKUP($E421,$O$35:$O$43,$T$35:$T$43)*G421/$P$9,"")</f>
        <v/>
      </c>
      <c r="K421" s="25" t="str">
        <f>IF(E421=$O$43,($D421/50-$T$43*$P$9)/$P$9,"")</f>
        <v/>
      </c>
      <c r="L421" s="25" t="str">
        <f>IFERROR(($D421/50-_xlfn.XLOOKUP($H421,$O$48:$O$62,$T$48:$T$62)*$P$14)/$P$9,"")</f>
        <v/>
      </c>
      <c r="M421" s="14">
        <f t="shared" si="6"/>
        <v>0</v>
      </c>
    </row>
    <row r="422" spans="2:13" x14ac:dyDescent="0.25">
      <c r="B422" s="10" t="str">
        <f>IF('Importér data'!C433="type",'Importér data'!F433,"")</f>
        <v/>
      </c>
      <c r="C422" s="10">
        <f>'Importér data'!H433</f>
        <v>0</v>
      </c>
      <c r="D422" s="32" t="str">
        <f>IF('Importér data'!C433="type",'Importér data'!N433,"")</f>
        <v/>
      </c>
      <c r="E422" s="24"/>
      <c r="F422" s="45"/>
      <c r="G422" s="45"/>
      <c r="H422" s="24"/>
      <c r="I422" s="25" t="str">
        <f>IFERROR(($D422/50-_xlfn.XLOOKUP($E422,$O$35:$O$43,$T$35:$T$43)*F422)/$P$9,"")</f>
        <v/>
      </c>
      <c r="J422" s="25" t="str">
        <f>IFERROR(_xlfn.XLOOKUP($E422,$O$35:$O$43,$T$35:$T$43)*G422/$P$9,"")</f>
        <v/>
      </c>
      <c r="K422" s="25" t="str">
        <f>IF(E422=$O$43,($D422/50-$T$43*$P$9)/$P$9,"")</f>
        <v/>
      </c>
      <c r="L422" s="25" t="str">
        <f>IFERROR(($D422/50-_xlfn.XLOOKUP($H422,$O$48:$O$62,$T$48:$T$62)*$P$14)/$P$9,"")</f>
        <v/>
      </c>
      <c r="M422" s="14">
        <f t="shared" si="6"/>
        <v>0</v>
      </c>
    </row>
    <row r="423" spans="2:13" x14ac:dyDescent="0.25">
      <c r="B423" s="10" t="str">
        <f>IF('Importér data'!C434="type",'Importér data'!F434,"")</f>
        <v/>
      </c>
      <c r="C423" s="10">
        <f>'Importér data'!H434</f>
        <v>0</v>
      </c>
      <c r="D423" s="32" t="str">
        <f>IF('Importér data'!C434="type",'Importér data'!N434,"")</f>
        <v/>
      </c>
      <c r="E423" s="24"/>
      <c r="F423" s="45"/>
      <c r="G423" s="45"/>
      <c r="H423" s="24"/>
      <c r="I423" s="25" t="str">
        <f>IFERROR(($D423/50-_xlfn.XLOOKUP($E423,$O$35:$O$43,$T$35:$T$43)*F423)/$P$9,"")</f>
        <v/>
      </c>
      <c r="J423" s="25" t="str">
        <f>IFERROR(_xlfn.XLOOKUP($E423,$O$35:$O$43,$T$35:$T$43)*G423/$P$9,"")</f>
        <v/>
      </c>
      <c r="K423" s="25" t="str">
        <f>IF(E423=$O$43,($D423/50-$T$43*$P$9)/$P$9,"")</f>
        <v/>
      </c>
      <c r="L423" s="25" t="str">
        <f>IFERROR(($D423/50-_xlfn.XLOOKUP($H423,$O$48:$O$62,$T$48:$T$62)*$P$14)/$P$9,"")</f>
        <v/>
      </c>
      <c r="M423" s="14">
        <f t="shared" si="6"/>
        <v>0</v>
      </c>
    </row>
    <row r="424" spans="2:13" x14ac:dyDescent="0.25">
      <c r="B424" s="10" t="str">
        <f>IF('Importér data'!C435="type",'Importér data'!F435,"")</f>
        <v/>
      </c>
      <c r="C424" s="10">
        <f>'Importér data'!H435</f>
        <v>0</v>
      </c>
      <c r="D424" s="32" t="str">
        <f>IF('Importér data'!C435="type",'Importér data'!N435,"")</f>
        <v/>
      </c>
      <c r="E424" s="24"/>
      <c r="F424" s="45"/>
      <c r="G424" s="45"/>
      <c r="H424" s="24"/>
      <c r="I424" s="25" t="str">
        <f>IFERROR(($D424/50-_xlfn.XLOOKUP($E424,$O$35:$O$43,$T$35:$T$43)*F424)/$P$9,"")</f>
        <v/>
      </c>
      <c r="J424" s="25" t="str">
        <f>IFERROR(_xlfn.XLOOKUP($E424,$O$35:$O$43,$T$35:$T$43)*G424/$P$9,"")</f>
        <v/>
      </c>
      <c r="K424" s="25" t="str">
        <f>IF(E424=$O$43,($D424/50-$T$43*$P$9)/$P$9,"")</f>
        <v/>
      </c>
      <c r="L424" s="25" t="str">
        <f>IFERROR(($D424/50-_xlfn.XLOOKUP($H424,$O$48:$O$62,$T$48:$T$62)*$P$14)/$P$9,"")</f>
        <v/>
      </c>
      <c r="M424" s="14">
        <f t="shared" si="6"/>
        <v>0</v>
      </c>
    </row>
    <row r="425" spans="2:13" x14ac:dyDescent="0.25">
      <c r="B425" s="10" t="str">
        <f>IF('Importér data'!C436="type",'Importér data'!F436,"")</f>
        <v/>
      </c>
      <c r="C425" s="10">
        <f>'Importér data'!H436</f>
        <v>0</v>
      </c>
      <c r="D425" s="32" t="str">
        <f>IF('Importér data'!C436="type",'Importér data'!N436,"")</f>
        <v/>
      </c>
      <c r="E425" s="24"/>
      <c r="F425" s="45"/>
      <c r="G425" s="45"/>
      <c r="H425" s="24"/>
      <c r="I425" s="25" t="str">
        <f>IFERROR(($D425/50-_xlfn.XLOOKUP($E425,$O$35:$O$43,$T$35:$T$43)*F425)/$P$9,"")</f>
        <v/>
      </c>
      <c r="J425" s="25" t="str">
        <f>IFERROR(_xlfn.XLOOKUP($E425,$O$35:$O$43,$T$35:$T$43)*G425/$P$9,"")</f>
        <v/>
      </c>
      <c r="K425" s="25" t="str">
        <f>IF(E425=$O$43,($D425/50-$T$43*$P$9)/$P$9,"")</f>
        <v/>
      </c>
      <c r="L425" s="25" t="str">
        <f>IFERROR(($D425/50-_xlfn.XLOOKUP($H425,$O$48:$O$62,$T$48:$T$62)*$P$14)/$P$9,"")</f>
        <v/>
      </c>
      <c r="M425" s="14">
        <f t="shared" si="6"/>
        <v>0</v>
      </c>
    </row>
    <row r="426" spans="2:13" x14ac:dyDescent="0.25">
      <c r="B426" s="10" t="str">
        <f>IF('Importér data'!C437="type",'Importér data'!F437,"")</f>
        <v/>
      </c>
      <c r="C426" s="10">
        <f>'Importér data'!H437</f>
        <v>0</v>
      </c>
      <c r="D426" s="32" t="str">
        <f>IF('Importér data'!C437="type",'Importér data'!N437,"")</f>
        <v/>
      </c>
      <c r="E426" s="24"/>
      <c r="F426" s="45"/>
      <c r="G426" s="45"/>
      <c r="H426" s="24"/>
      <c r="I426" s="25" t="str">
        <f>IFERROR(($D426/50-_xlfn.XLOOKUP($E426,$O$35:$O$43,$T$35:$T$43)*F426)/$P$9,"")</f>
        <v/>
      </c>
      <c r="J426" s="25" t="str">
        <f>IFERROR(_xlfn.XLOOKUP($E426,$O$35:$O$43,$T$35:$T$43)*G426/$P$9,"")</f>
        <v/>
      </c>
      <c r="K426" s="25" t="str">
        <f>IF(E426=$O$43,($D426/50-$T$43*$P$9)/$P$9,"")</f>
        <v/>
      </c>
      <c r="L426" s="25" t="str">
        <f>IFERROR(($D426/50-_xlfn.XLOOKUP($H426,$O$48:$O$62,$T$48:$T$62)*$P$14)/$P$9,"")</f>
        <v/>
      </c>
      <c r="M426" s="14">
        <f t="shared" si="6"/>
        <v>0</v>
      </c>
    </row>
    <row r="427" spans="2:13" x14ac:dyDescent="0.25">
      <c r="B427" s="10" t="str">
        <f>IF('Importér data'!C438="type",'Importér data'!F438,"")</f>
        <v/>
      </c>
      <c r="C427" s="10">
        <f>'Importér data'!H438</f>
        <v>0</v>
      </c>
      <c r="D427" s="32" t="str">
        <f>IF('Importér data'!C438="type",'Importér data'!N438,"")</f>
        <v/>
      </c>
      <c r="E427" s="24"/>
      <c r="F427" s="45"/>
      <c r="G427" s="45"/>
      <c r="H427" s="24"/>
      <c r="I427" s="25" t="str">
        <f>IFERROR(($D427/50-_xlfn.XLOOKUP($E427,$O$35:$O$43,$T$35:$T$43)*F427)/$P$9,"")</f>
        <v/>
      </c>
      <c r="J427" s="25" t="str">
        <f>IFERROR(_xlfn.XLOOKUP($E427,$O$35:$O$43,$T$35:$T$43)*G427/$P$9,"")</f>
        <v/>
      </c>
      <c r="K427" s="25" t="str">
        <f>IF(E427=$O$43,($D427/50-$T$43*$P$9)/$P$9,"")</f>
        <v/>
      </c>
      <c r="L427" s="25" t="str">
        <f>IFERROR(($D427/50-_xlfn.XLOOKUP($H427,$O$48:$O$62,$T$48:$T$62)*$P$14)/$P$9,"")</f>
        <v/>
      </c>
      <c r="M427" s="14">
        <f t="shared" si="6"/>
        <v>0</v>
      </c>
    </row>
    <row r="428" spans="2:13" x14ac:dyDescent="0.25">
      <c r="B428" s="10" t="str">
        <f>IF('Importér data'!C439="type",'Importér data'!F439,"")</f>
        <v/>
      </c>
      <c r="C428" s="10">
        <f>'Importér data'!H439</f>
        <v>0</v>
      </c>
      <c r="D428" s="32" t="str">
        <f>IF('Importér data'!C439="type",'Importér data'!N439,"")</f>
        <v/>
      </c>
      <c r="E428" s="24"/>
      <c r="F428" s="45"/>
      <c r="G428" s="45"/>
      <c r="H428" s="24"/>
      <c r="I428" s="25" t="str">
        <f>IFERROR(($D428/50-_xlfn.XLOOKUP($E428,$O$35:$O$43,$T$35:$T$43)*F428)/$P$9,"")</f>
        <v/>
      </c>
      <c r="J428" s="25" t="str">
        <f>IFERROR(_xlfn.XLOOKUP($E428,$O$35:$O$43,$T$35:$T$43)*G428/$P$9,"")</f>
        <v/>
      </c>
      <c r="K428" s="25" t="str">
        <f>IF(E428=$O$43,($D428/50-$T$43*$P$9)/$P$9,"")</f>
        <v/>
      </c>
      <c r="L428" s="25" t="str">
        <f>IFERROR(($D428/50-_xlfn.XLOOKUP($H428,$O$48:$O$62,$T$48:$T$62)*$P$14)/$P$9,"")</f>
        <v/>
      </c>
      <c r="M428" s="14">
        <f t="shared" si="6"/>
        <v>0</v>
      </c>
    </row>
    <row r="429" spans="2:13" x14ac:dyDescent="0.25">
      <c r="B429" s="10" t="str">
        <f>IF('Importér data'!C440="type",'Importér data'!F440,"")</f>
        <v/>
      </c>
      <c r="C429" s="10">
        <f>'Importér data'!H440</f>
        <v>0</v>
      </c>
      <c r="D429" s="32" t="str">
        <f>IF('Importér data'!C440="type",'Importér data'!N440,"")</f>
        <v/>
      </c>
      <c r="E429" s="24"/>
      <c r="F429" s="45"/>
      <c r="G429" s="45"/>
      <c r="H429" s="24"/>
      <c r="I429" s="25" t="str">
        <f>IFERROR(($D429/50-_xlfn.XLOOKUP($E429,$O$35:$O$43,$T$35:$T$43)*F429)/$P$9,"")</f>
        <v/>
      </c>
      <c r="J429" s="25" t="str">
        <f>IFERROR(_xlfn.XLOOKUP($E429,$O$35:$O$43,$T$35:$T$43)*G429/$P$9,"")</f>
        <v/>
      </c>
      <c r="K429" s="25" t="str">
        <f>IF(E429=$O$43,($D429/50-$T$43*$P$9)/$P$9,"")</f>
        <v/>
      </c>
      <c r="L429" s="25" t="str">
        <f>IFERROR(($D429/50-_xlfn.XLOOKUP($H429,$O$48:$O$62,$T$48:$T$62)*$P$14)/$P$9,"")</f>
        <v/>
      </c>
      <c r="M429" s="14">
        <f t="shared" si="6"/>
        <v>0</v>
      </c>
    </row>
    <row r="430" spans="2:13" x14ac:dyDescent="0.25">
      <c r="B430" s="10" t="str">
        <f>IF('Importér data'!C441="type",'Importér data'!F441,"")</f>
        <v/>
      </c>
      <c r="C430" s="10">
        <f>'Importér data'!H441</f>
        <v>0</v>
      </c>
      <c r="D430" s="32" t="str">
        <f>IF('Importér data'!C441="type",'Importér data'!N441,"")</f>
        <v/>
      </c>
      <c r="E430" s="24"/>
      <c r="F430" s="45"/>
      <c r="G430" s="45"/>
      <c r="H430" s="24"/>
      <c r="I430" s="25" t="str">
        <f>IFERROR(($D430/50-_xlfn.XLOOKUP($E430,$O$35:$O$43,$T$35:$T$43)*F430)/$P$9,"")</f>
        <v/>
      </c>
      <c r="J430" s="25" t="str">
        <f>IFERROR(_xlfn.XLOOKUP($E430,$O$35:$O$43,$T$35:$T$43)*G430/$P$9,"")</f>
        <v/>
      </c>
      <c r="K430" s="25" t="str">
        <f>IF(E430=$O$43,($D430/50-$T$43*$P$9)/$P$9,"")</f>
        <v/>
      </c>
      <c r="L430" s="25" t="str">
        <f>IFERROR(($D430/50-_xlfn.XLOOKUP($H430,$O$48:$O$62,$T$48:$T$62)*$P$14)/$P$9,"")</f>
        <v/>
      </c>
      <c r="M430" s="14">
        <f t="shared" si="6"/>
        <v>0</v>
      </c>
    </row>
    <row r="431" spans="2:13" x14ac:dyDescent="0.25">
      <c r="B431" s="10" t="str">
        <f>IF('Importér data'!C442="type",'Importér data'!F442,"")</f>
        <v/>
      </c>
      <c r="C431" s="10">
        <f>'Importér data'!H442</f>
        <v>0</v>
      </c>
      <c r="D431" s="32" t="str">
        <f>IF('Importér data'!C442="type",'Importér data'!N442,"")</f>
        <v/>
      </c>
      <c r="E431" s="24"/>
      <c r="F431" s="45"/>
      <c r="G431" s="45"/>
      <c r="H431" s="24"/>
      <c r="I431" s="25" t="str">
        <f>IFERROR(($D431/50-_xlfn.XLOOKUP($E431,$O$35:$O$43,$T$35:$T$43)*F431)/$P$9,"")</f>
        <v/>
      </c>
      <c r="J431" s="25" t="str">
        <f>IFERROR(_xlfn.XLOOKUP($E431,$O$35:$O$43,$T$35:$T$43)*G431/$P$9,"")</f>
        <v/>
      </c>
      <c r="K431" s="25" t="str">
        <f>IF(E431=$O$43,($D431/50-$T$43*$P$9)/$P$9,"")</f>
        <v/>
      </c>
      <c r="L431" s="25" t="str">
        <f>IFERROR(($D431/50-_xlfn.XLOOKUP($H431,$O$48:$O$62,$T$48:$T$62)*$P$14)/$P$9,"")</f>
        <v/>
      </c>
      <c r="M431" s="14">
        <f t="shared" si="6"/>
        <v>0</v>
      </c>
    </row>
    <row r="432" spans="2:13" x14ac:dyDescent="0.25">
      <c r="B432" s="10" t="str">
        <f>IF('Importér data'!C443="type",'Importér data'!F443,"")</f>
        <v/>
      </c>
      <c r="C432" s="10">
        <f>'Importér data'!H443</f>
        <v>0</v>
      </c>
      <c r="D432" s="32" t="str">
        <f>IF('Importér data'!C443="type",'Importér data'!N443,"")</f>
        <v/>
      </c>
      <c r="E432" s="24"/>
      <c r="F432" s="45"/>
      <c r="G432" s="45"/>
      <c r="H432" s="24"/>
      <c r="I432" s="25" t="str">
        <f>IFERROR(($D432/50-_xlfn.XLOOKUP($E432,$O$35:$O$43,$T$35:$T$43)*F432)/$P$9,"")</f>
        <v/>
      </c>
      <c r="J432" s="25" t="str">
        <f>IFERROR(_xlfn.XLOOKUP($E432,$O$35:$O$43,$T$35:$T$43)*G432/$P$9,"")</f>
        <v/>
      </c>
      <c r="K432" s="25" t="str">
        <f>IF(E432=$O$43,($D432/50-$T$43*$P$9)/$P$9,"")</f>
        <v/>
      </c>
      <c r="L432" s="25" t="str">
        <f>IFERROR(($D432/50-_xlfn.XLOOKUP($H432,$O$48:$O$62,$T$48:$T$62)*$P$14)/$P$9,"")</f>
        <v/>
      </c>
      <c r="M432" s="14">
        <f t="shared" si="6"/>
        <v>0</v>
      </c>
    </row>
    <row r="433" spans="2:13" x14ac:dyDescent="0.25">
      <c r="B433" s="10" t="str">
        <f>IF('Importér data'!C444="type",'Importér data'!F444,"")</f>
        <v/>
      </c>
      <c r="C433" s="10">
        <f>'Importér data'!H444</f>
        <v>0</v>
      </c>
      <c r="D433" s="32" t="str">
        <f>IF('Importér data'!C444="type",'Importér data'!N444,"")</f>
        <v/>
      </c>
      <c r="E433" s="24"/>
      <c r="F433" s="45"/>
      <c r="G433" s="45"/>
      <c r="H433" s="24"/>
      <c r="I433" s="25" t="str">
        <f>IFERROR(($D433/50-_xlfn.XLOOKUP($E433,$O$35:$O$43,$T$35:$T$43)*F433)/$P$9,"")</f>
        <v/>
      </c>
      <c r="J433" s="25" t="str">
        <f>IFERROR(_xlfn.XLOOKUP($E433,$O$35:$O$43,$T$35:$T$43)*G433/$P$9,"")</f>
        <v/>
      </c>
      <c r="K433" s="25" t="str">
        <f>IF(E433=$O$43,($D433/50-$T$43*$P$9)/$P$9,"")</f>
        <v/>
      </c>
      <c r="L433" s="25" t="str">
        <f>IFERROR(($D433/50-_xlfn.XLOOKUP($H433,$O$48:$O$62,$T$48:$T$62)*$P$14)/$P$9,"")</f>
        <v/>
      </c>
      <c r="M433" s="14">
        <f t="shared" si="6"/>
        <v>0</v>
      </c>
    </row>
    <row r="434" spans="2:13" x14ac:dyDescent="0.25">
      <c r="B434" s="10" t="str">
        <f>IF('Importér data'!C445="type",'Importér data'!F445,"")</f>
        <v/>
      </c>
      <c r="C434" s="10">
        <f>'Importér data'!H445</f>
        <v>0</v>
      </c>
      <c r="D434" s="32" t="str">
        <f>IF('Importér data'!C445="type",'Importér data'!N445,"")</f>
        <v/>
      </c>
      <c r="E434" s="24"/>
      <c r="F434" s="45"/>
      <c r="G434" s="45"/>
      <c r="H434" s="24"/>
      <c r="I434" s="25" t="str">
        <f>IFERROR(($D434/50-_xlfn.XLOOKUP($E434,$O$35:$O$43,$T$35:$T$43)*F434)/$P$9,"")</f>
        <v/>
      </c>
      <c r="J434" s="25" t="str">
        <f>IFERROR(_xlfn.XLOOKUP($E434,$O$35:$O$43,$T$35:$T$43)*G434/$P$9,"")</f>
        <v/>
      </c>
      <c r="K434" s="25" t="str">
        <f>IF(E434=$O$43,($D434/50-$T$43*$P$9)/$P$9,"")</f>
        <v/>
      </c>
      <c r="L434" s="25" t="str">
        <f>IFERROR(($D434/50-_xlfn.XLOOKUP($H434,$O$48:$O$62,$T$48:$T$62)*$P$14)/$P$9,"")</f>
        <v/>
      </c>
      <c r="M434" s="14">
        <f t="shared" si="6"/>
        <v>0</v>
      </c>
    </row>
    <row r="435" spans="2:13" x14ac:dyDescent="0.25">
      <c r="B435" s="10" t="str">
        <f>IF('Importér data'!C446="type",'Importér data'!F446,"")</f>
        <v/>
      </c>
      <c r="C435" s="10">
        <f>'Importér data'!H446</f>
        <v>0</v>
      </c>
      <c r="D435" s="32" t="str">
        <f>IF('Importér data'!C446="type",'Importér data'!N446,"")</f>
        <v/>
      </c>
      <c r="E435" s="24"/>
      <c r="F435" s="45"/>
      <c r="G435" s="45"/>
      <c r="H435" s="24"/>
      <c r="I435" s="25" t="str">
        <f>IFERROR(($D435/50-_xlfn.XLOOKUP($E435,$O$35:$O$43,$T$35:$T$43)*F435)/$P$9,"")</f>
        <v/>
      </c>
      <c r="J435" s="25" t="str">
        <f>IFERROR(_xlfn.XLOOKUP($E435,$O$35:$O$43,$T$35:$T$43)*G435/$P$9,"")</f>
        <v/>
      </c>
      <c r="K435" s="25" t="str">
        <f>IF(E435=$O$43,($D435/50-$T$43*$P$9)/$P$9,"")</f>
        <v/>
      </c>
      <c r="L435" s="25" t="str">
        <f>IFERROR(($D435/50-_xlfn.XLOOKUP($H435,$O$48:$O$62,$T$48:$T$62)*$P$14)/$P$9,"")</f>
        <v/>
      </c>
      <c r="M435" s="14">
        <f t="shared" si="6"/>
        <v>0</v>
      </c>
    </row>
    <row r="436" spans="2:13" x14ac:dyDescent="0.25">
      <c r="B436" s="10" t="str">
        <f>IF('Importér data'!C447="type",'Importér data'!F447,"")</f>
        <v/>
      </c>
      <c r="C436" s="10">
        <f>'Importér data'!H447</f>
        <v>0</v>
      </c>
      <c r="D436" s="32" t="str">
        <f>IF('Importér data'!C447="type",'Importér data'!N447,"")</f>
        <v/>
      </c>
      <c r="E436" s="24"/>
      <c r="F436" s="45"/>
      <c r="G436" s="45"/>
      <c r="H436" s="24"/>
      <c r="I436" s="25" t="str">
        <f>IFERROR(($D436/50-_xlfn.XLOOKUP($E436,$O$35:$O$43,$T$35:$T$43)*F436)/$P$9,"")</f>
        <v/>
      </c>
      <c r="J436" s="25" t="str">
        <f>IFERROR(_xlfn.XLOOKUP($E436,$O$35:$O$43,$T$35:$T$43)*G436/$P$9,"")</f>
        <v/>
      </c>
      <c r="K436" s="25" t="str">
        <f>IF(E436=$O$43,($D436/50-$T$43*$P$9)/$P$9,"")</f>
        <v/>
      </c>
      <c r="L436" s="25" t="str">
        <f>IFERROR(($D436/50-_xlfn.XLOOKUP($H436,$O$48:$O$62,$T$48:$T$62)*$P$14)/$P$9,"")</f>
        <v/>
      </c>
      <c r="M436" s="14">
        <f t="shared" si="6"/>
        <v>0</v>
      </c>
    </row>
    <row r="437" spans="2:13" x14ac:dyDescent="0.25">
      <c r="B437" s="10" t="str">
        <f>IF('Importér data'!C448="type",'Importér data'!F448,"")</f>
        <v/>
      </c>
      <c r="C437" s="10">
        <f>'Importér data'!H448</f>
        <v>0</v>
      </c>
      <c r="D437" s="32" t="str">
        <f>IF('Importér data'!C448="type",'Importér data'!N448,"")</f>
        <v/>
      </c>
      <c r="E437" s="24"/>
      <c r="F437" s="45"/>
      <c r="G437" s="45"/>
      <c r="H437" s="24"/>
      <c r="I437" s="25" t="str">
        <f>IFERROR(($D437/50-_xlfn.XLOOKUP($E437,$O$35:$O$43,$T$35:$T$43)*F437)/$P$9,"")</f>
        <v/>
      </c>
      <c r="J437" s="25" t="str">
        <f>IFERROR(_xlfn.XLOOKUP($E437,$O$35:$O$43,$T$35:$T$43)*G437/$P$9,"")</f>
        <v/>
      </c>
      <c r="K437" s="25" t="str">
        <f>IF(E437=$O$43,($D437/50-$T$43*$P$9)/$P$9,"")</f>
        <v/>
      </c>
      <c r="L437" s="25" t="str">
        <f>IFERROR(($D437/50-_xlfn.XLOOKUP($H437,$O$48:$O$62,$T$48:$T$62)*$P$14)/$P$9,"")</f>
        <v/>
      </c>
      <c r="M437" s="14">
        <f t="shared" si="6"/>
        <v>0</v>
      </c>
    </row>
    <row r="438" spans="2:13" x14ac:dyDescent="0.25">
      <c r="B438" s="10" t="str">
        <f>IF('Importér data'!C449="type",'Importér data'!F449,"")</f>
        <v/>
      </c>
      <c r="C438" s="10">
        <f>'Importér data'!H449</f>
        <v>0</v>
      </c>
      <c r="D438" s="32" t="str">
        <f>IF('Importér data'!C449="type",'Importér data'!N449,"")</f>
        <v/>
      </c>
      <c r="E438" s="24"/>
      <c r="F438" s="45"/>
      <c r="G438" s="45"/>
      <c r="H438" s="24"/>
      <c r="I438" s="25" t="str">
        <f>IFERROR(($D438/50-_xlfn.XLOOKUP($E438,$O$35:$O$43,$T$35:$T$43)*F438)/$P$9,"")</f>
        <v/>
      </c>
      <c r="J438" s="25" t="str">
        <f>IFERROR(_xlfn.XLOOKUP($E438,$O$35:$O$43,$T$35:$T$43)*G438/$P$9,"")</f>
        <v/>
      </c>
      <c r="K438" s="25" t="str">
        <f>IF(E438=$O$43,($D438/50-$T$43*$P$9)/$P$9,"")</f>
        <v/>
      </c>
      <c r="L438" s="25" t="str">
        <f>IFERROR(($D438/50-_xlfn.XLOOKUP($H438,$O$48:$O$62,$T$48:$T$62)*$P$14)/$P$9,"")</f>
        <v/>
      </c>
      <c r="M438" s="14">
        <f t="shared" si="6"/>
        <v>0</v>
      </c>
    </row>
    <row r="439" spans="2:13" x14ac:dyDescent="0.25">
      <c r="B439" s="10" t="str">
        <f>IF('Importér data'!C450="type",'Importér data'!F450,"")</f>
        <v/>
      </c>
      <c r="C439" s="10">
        <f>'Importér data'!H450</f>
        <v>0</v>
      </c>
      <c r="D439" s="32" t="str">
        <f>IF('Importér data'!C450="type",'Importér data'!N450,"")</f>
        <v/>
      </c>
      <c r="E439" s="24"/>
      <c r="F439" s="45"/>
      <c r="G439" s="45"/>
      <c r="H439" s="24"/>
      <c r="I439" s="25" t="str">
        <f>IFERROR(($D439/50-_xlfn.XLOOKUP($E439,$O$35:$O$43,$T$35:$T$43)*F439)/$P$9,"")</f>
        <v/>
      </c>
      <c r="J439" s="25" t="str">
        <f>IFERROR(_xlfn.XLOOKUP($E439,$O$35:$O$43,$T$35:$T$43)*G439/$P$9,"")</f>
        <v/>
      </c>
      <c r="K439" s="25" t="str">
        <f>IF(E439=$O$43,($D439/50-$T$43*$P$9)/$P$9,"")</f>
        <v/>
      </c>
      <c r="L439" s="25" t="str">
        <f>IFERROR(($D439/50-_xlfn.XLOOKUP($H439,$O$48:$O$62,$T$48:$T$62)*$P$14)/$P$9,"")</f>
        <v/>
      </c>
      <c r="M439" s="14">
        <f t="shared" si="6"/>
        <v>0</v>
      </c>
    </row>
    <row r="440" spans="2:13" x14ac:dyDescent="0.25">
      <c r="B440" s="10" t="str">
        <f>IF('Importér data'!C451="type",'Importér data'!F451,"")</f>
        <v/>
      </c>
      <c r="C440" s="10">
        <f>'Importér data'!H451</f>
        <v>0</v>
      </c>
      <c r="D440" s="32" t="str">
        <f>IF('Importér data'!C451="type",'Importér data'!N451,"")</f>
        <v/>
      </c>
      <c r="E440" s="24"/>
      <c r="F440" s="45"/>
      <c r="G440" s="45"/>
      <c r="H440" s="24"/>
      <c r="I440" s="25" t="str">
        <f>IFERROR(($D440/50-_xlfn.XLOOKUP($E440,$O$35:$O$43,$T$35:$T$43)*F440)/$P$9,"")</f>
        <v/>
      </c>
      <c r="J440" s="25" t="str">
        <f>IFERROR(_xlfn.XLOOKUP($E440,$O$35:$O$43,$T$35:$T$43)*G440/$P$9,"")</f>
        <v/>
      </c>
      <c r="K440" s="25" t="str">
        <f>IF(E440=$O$43,($D440/50-$T$43*$P$9)/$P$9,"")</f>
        <v/>
      </c>
      <c r="L440" s="25" t="str">
        <f>IFERROR(($D440/50-_xlfn.XLOOKUP($H440,$O$48:$O$62,$T$48:$T$62)*$P$14)/$P$9,"")</f>
        <v/>
      </c>
      <c r="M440" s="14">
        <f t="shared" si="6"/>
        <v>0</v>
      </c>
    </row>
    <row r="441" spans="2:13" x14ac:dyDescent="0.25">
      <c r="B441" s="10" t="str">
        <f>IF('Importér data'!C452="type",'Importér data'!F452,"")</f>
        <v/>
      </c>
      <c r="C441" s="10">
        <f>'Importér data'!H452</f>
        <v>0</v>
      </c>
      <c r="D441" s="32" t="str">
        <f>IF('Importér data'!C452="type",'Importér data'!N452,"")</f>
        <v/>
      </c>
      <c r="E441" s="24"/>
      <c r="F441" s="45"/>
      <c r="G441" s="45"/>
      <c r="H441" s="24"/>
      <c r="I441" s="25" t="str">
        <f>IFERROR(($D441/50-_xlfn.XLOOKUP($E441,$O$35:$O$43,$T$35:$T$43)*F441)/$P$9,"")</f>
        <v/>
      </c>
      <c r="J441" s="25" t="str">
        <f>IFERROR(_xlfn.XLOOKUP($E441,$O$35:$O$43,$T$35:$T$43)*G441/$P$9,"")</f>
        <v/>
      </c>
      <c r="K441" s="25" t="str">
        <f>IF(E441=$O$43,($D441/50-$T$43*$P$9)/$P$9,"")</f>
        <v/>
      </c>
      <c r="L441" s="25" t="str">
        <f>IFERROR(($D441/50-_xlfn.XLOOKUP($H441,$O$48:$O$62,$T$48:$T$62)*$P$14)/$P$9,"")</f>
        <v/>
      </c>
      <c r="M441" s="14">
        <f t="shared" si="6"/>
        <v>0</v>
      </c>
    </row>
    <row r="442" spans="2:13" x14ac:dyDescent="0.25">
      <c r="B442" s="10" t="str">
        <f>IF('Importér data'!C453="type",'Importér data'!F453,"")</f>
        <v/>
      </c>
      <c r="C442" s="10">
        <f>'Importér data'!H453</f>
        <v>0</v>
      </c>
      <c r="D442" s="32" t="str">
        <f>IF('Importér data'!C453="type",'Importér data'!N453,"")</f>
        <v/>
      </c>
      <c r="E442" s="24"/>
      <c r="F442" s="45"/>
      <c r="G442" s="45"/>
      <c r="H442" s="24"/>
      <c r="I442" s="25" t="str">
        <f>IFERROR(($D442/50-_xlfn.XLOOKUP($E442,$O$35:$O$43,$T$35:$T$43)*F442)/$P$9,"")</f>
        <v/>
      </c>
      <c r="J442" s="25" t="str">
        <f>IFERROR(_xlfn.XLOOKUP($E442,$O$35:$O$43,$T$35:$T$43)*G442/$P$9,"")</f>
        <v/>
      </c>
      <c r="K442" s="25" t="str">
        <f>IF(E442=$O$43,($D442/50-$T$43*$P$9)/$P$9,"")</f>
        <v/>
      </c>
      <c r="L442" s="25" t="str">
        <f>IFERROR(($D442/50-_xlfn.XLOOKUP($H442,$O$48:$O$62,$T$48:$T$62)*$P$14)/$P$9,"")</f>
        <v/>
      </c>
      <c r="M442" s="14">
        <f t="shared" si="6"/>
        <v>0</v>
      </c>
    </row>
    <row r="443" spans="2:13" x14ac:dyDescent="0.25">
      <c r="B443" s="10" t="str">
        <f>IF('Importér data'!C454="type",'Importér data'!F454,"")</f>
        <v/>
      </c>
      <c r="C443" s="10">
        <f>'Importér data'!H454</f>
        <v>0</v>
      </c>
      <c r="D443" s="32" t="str">
        <f>IF('Importér data'!C454="type",'Importér data'!N454,"")</f>
        <v/>
      </c>
      <c r="E443" s="24"/>
      <c r="F443" s="45"/>
      <c r="G443" s="45"/>
      <c r="H443" s="24"/>
      <c r="I443" s="25" t="str">
        <f>IFERROR(($D443/50-_xlfn.XLOOKUP($E443,$O$35:$O$43,$T$35:$T$43)*F443)/$P$9,"")</f>
        <v/>
      </c>
      <c r="J443" s="25" t="str">
        <f>IFERROR(_xlfn.XLOOKUP($E443,$O$35:$O$43,$T$35:$T$43)*G443/$P$9,"")</f>
        <v/>
      </c>
      <c r="K443" s="25" t="str">
        <f>IF(E443=$O$43,($D443/50-$T$43*$P$9)/$P$9,"")</f>
        <v/>
      </c>
      <c r="L443" s="25" t="str">
        <f>IFERROR(($D443/50-_xlfn.XLOOKUP($H443,$O$48:$O$62,$T$48:$T$62)*$P$14)/$P$9,"")</f>
        <v/>
      </c>
      <c r="M443" s="14">
        <f t="shared" si="6"/>
        <v>0</v>
      </c>
    </row>
    <row r="444" spans="2:13" x14ac:dyDescent="0.25">
      <c r="B444" s="10" t="str">
        <f>IF('Importér data'!C455="type",'Importér data'!F455,"")</f>
        <v/>
      </c>
      <c r="C444" s="10">
        <f>'Importér data'!H455</f>
        <v>0</v>
      </c>
      <c r="D444" s="32" t="str">
        <f>IF('Importér data'!C455="type",'Importér data'!N455,"")</f>
        <v/>
      </c>
      <c r="E444" s="24"/>
      <c r="F444" s="45"/>
      <c r="G444" s="45"/>
      <c r="H444" s="24"/>
      <c r="I444" s="25" t="str">
        <f>IFERROR(($D444/50-_xlfn.XLOOKUP($E444,$O$35:$O$43,$T$35:$T$43)*F444)/$P$9,"")</f>
        <v/>
      </c>
      <c r="J444" s="25" t="str">
        <f>IFERROR(_xlfn.XLOOKUP($E444,$O$35:$O$43,$T$35:$T$43)*G444/$P$9,"")</f>
        <v/>
      </c>
      <c r="K444" s="25" t="str">
        <f>IF(E444=$O$43,($D444/50-$T$43*$P$9)/$P$9,"")</f>
        <v/>
      </c>
      <c r="L444" s="25" t="str">
        <f>IFERROR(($D444/50-_xlfn.XLOOKUP($H444,$O$48:$O$62,$T$48:$T$62)*$P$14)/$P$9,"")</f>
        <v/>
      </c>
      <c r="M444" s="14">
        <f t="shared" si="6"/>
        <v>0</v>
      </c>
    </row>
    <row r="445" spans="2:13" x14ac:dyDescent="0.25">
      <c r="B445" s="10" t="str">
        <f>IF('Importér data'!C456="type",'Importér data'!F456,"")</f>
        <v/>
      </c>
      <c r="C445" s="10">
        <f>'Importér data'!H456</f>
        <v>0</v>
      </c>
      <c r="D445" s="32" t="str">
        <f>IF('Importér data'!C456="type",'Importér data'!N456,"")</f>
        <v/>
      </c>
      <c r="E445" s="24"/>
      <c r="F445" s="45"/>
      <c r="G445" s="45"/>
      <c r="H445" s="24"/>
      <c r="I445" s="25" t="str">
        <f>IFERROR(($D445/50-_xlfn.XLOOKUP($E445,$O$35:$O$43,$T$35:$T$43)*F445)/$P$9,"")</f>
        <v/>
      </c>
      <c r="J445" s="25" t="str">
        <f>IFERROR(_xlfn.XLOOKUP($E445,$O$35:$O$43,$T$35:$T$43)*G445/$P$9,"")</f>
        <v/>
      </c>
      <c r="K445" s="25" t="str">
        <f>IF(E445=$O$43,($D445/50-$T$43*$P$9)/$P$9,"")</f>
        <v/>
      </c>
      <c r="L445" s="25" t="str">
        <f>IFERROR(($D445/50-_xlfn.XLOOKUP($H445,$O$48:$O$62,$T$48:$T$62)*$P$14)/$P$9,"")</f>
        <v/>
      </c>
      <c r="M445" s="14">
        <f t="shared" si="6"/>
        <v>0</v>
      </c>
    </row>
    <row r="446" spans="2:13" x14ac:dyDescent="0.25">
      <c r="B446" s="10" t="str">
        <f>IF('Importér data'!C457="type",'Importér data'!F457,"")</f>
        <v/>
      </c>
      <c r="C446" s="10">
        <f>'Importér data'!H457</f>
        <v>0</v>
      </c>
      <c r="D446" s="32" t="str">
        <f>IF('Importér data'!C457="type",'Importér data'!N457,"")</f>
        <v/>
      </c>
      <c r="E446" s="24"/>
      <c r="F446" s="45"/>
      <c r="G446" s="45"/>
      <c r="H446" s="24"/>
      <c r="I446" s="25" t="str">
        <f>IFERROR(($D446/50-_xlfn.XLOOKUP($E446,$O$35:$O$43,$T$35:$T$43)*F446)/$P$9,"")</f>
        <v/>
      </c>
      <c r="J446" s="25" t="str">
        <f>IFERROR(_xlfn.XLOOKUP($E446,$O$35:$O$43,$T$35:$T$43)*G446/$P$9,"")</f>
        <v/>
      </c>
      <c r="K446" s="25" t="str">
        <f>IF(E446=$O$43,($D446/50-$T$43*$P$9)/$P$9,"")</f>
        <v/>
      </c>
      <c r="L446" s="25" t="str">
        <f>IFERROR(($D446/50-_xlfn.XLOOKUP($H446,$O$48:$O$62,$T$48:$T$62)*$P$14)/$P$9,"")</f>
        <v/>
      </c>
      <c r="M446" s="14">
        <f t="shared" si="6"/>
        <v>0</v>
      </c>
    </row>
    <row r="447" spans="2:13" x14ac:dyDescent="0.25">
      <c r="B447" s="10" t="str">
        <f>IF('Importér data'!C458="type",'Importér data'!F458,"")</f>
        <v/>
      </c>
      <c r="C447" s="10">
        <f>'Importér data'!H458</f>
        <v>0</v>
      </c>
      <c r="D447" s="32" t="str">
        <f>IF('Importér data'!C458="type",'Importér data'!N458,"")</f>
        <v/>
      </c>
      <c r="E447" s="24"/>
      <c r="F447" s="45"/>
      <c r="G447" s="45"/>
      <c r="H447" s="24"/>
      <c r="I447" s="25" t="str">
        <f>IFERROR(($D447/50-_xlfn.XLOOKUP($E447,$O$35:$O$43,$T$35:$T$43)*F447)/$P$9,"")</f>
        <v/>
      </c>
      <c r="J447" s="25" t="str">
        <f>IFERROR(_xlfn.XLOOKUP($E447,$O$35:$O$43,$T$35:$T$43)*G447/$P$9,"")</f>
        <v/>
      </c>
      <c r="K447" s="25" t="str">
        <f>IF(E447=$O$43,($D447/50-$T$43*$P$9)/$P$9,"")</f>
        <v/>
      </c>
      <c r="L447" s="25" t="str">
        <f>IFERROR(($D447/50-_xlfn.XLOOKUP($H447,$O$48:$O$62,$T$48:$T$62)*$P$14)/$P$9,"")</f>
        <v/>
      </c>
      <c r="M447" s="14">
        <f t="shared" si="6"/>
        <v>0</v>
      </c>
    </row>
    <row r="448" spans="2:13" x14ac:dyDescent="0.25">
      <c r="B448" s="10" t="str">
        <f>IF('Importér data'!C459="type",'Importér data'!F459,"")</f>
        <v/>
      </c>
      <c r="C448" s="10">
        <f>'Importér data'!H459</f>
        <v>0</v>
      </c>
      <c r="D448" s="32" t="str">
        <f>IF('Importér data'!C459="type",'Importér data'!N459,"")</f>
        <v/>
      </c>
      <c r="E448" s="24"/>
      <c r="F448" s="45"/>
      <c r="G448" s="45"/>
      <c r="H448" s="24"/>
      <c r="I448" s="25" t="str">
        <f>IFERROR(($D448/50-_xlfn.XLOOKUP($E448,$O$35:$O$43,$T$35:$T$43)*F448)/$P$9,"")</f>
        <v/>
      </c>
      <c r="J448" s="25" t="str">
        <f>IFERROR(_xlfn.XLOOKUP($E448,$O$35:$O$43,$T$35:$T$43)*G448/$P$9,"")</f>
        <v/>
      </c>
      <c r="K448" s="25" t="str">
        <f>IF(E448=$O$43,($D448/50-$T$43*$P$9)/$P$9,"")</f>
        <v/>
      </c>
      <c r="L448" s="25" t="str">
        <f>IFERROR(($D448/50-_xlfn.XLOOKUP($H448,$O$48:$O$62,$T$48:$T$62)*$P$14)/$P$9,"")</f>
        <v/>
      </c>
      <c r="M448" s="14">
        <f t="shared" si="6"/>
        <v>0</v>
      </c>
    </row>
    <row r="449" spans="2:13" x14ac:dyDescent="0.25">
      <c r="B449" s="10" t="str">
        <f>IF('Importér data'!C460="type",'Importér data'!F460,"")</f>
        <v/>
      </c>
      <c r="C449" s="10">
        <f>'Importér data'!H460</f>
        <v>0</v>
      </c>
      <c r="D449" s="32" t="str">
        <f>IF('Importér data'!C460="type",'Importér data'!N460,"")</f>
        <v/>
      </c>
      <c r="E449" s="24"/>
      <c r="F449" s="45"/>
      <c r="G449" s="45"/>
      <c r="H449" s="24"/>
      <c r="I449" s="25" t="str">
        <f>IFERROR(($D449/50-_xlfn.XLOOKUP($E449,$O$35:$O$43,$T$35:$T$43)*F449)/$P$9,"")</f>
        <v/>
      </c>
      <c r="J449" s="25" t="str">
        <f>IFERROR(_xlfn.XLOOKUP($E449,$O$35:$O$43,$T$35:$T$43)*G449/$P$9,"")</f>
        <v/>
      </c>
      <c r="K449" s="25" t="str">
        <f>IF(E449=$O$43,($D449/50-$T$43*$P$9)/$P$9,"")</f>
        <v/>
      </c>
      <c r="L449" s="25" t="str">
        <f>IFERROR(($D449/50-_xlfn.XLOOKUP($H449,$O$48:$O$62,$T$48:$T$62)*$P$14)/$P$9,"")</f>
        <v/>
      </c>
      <c r="M449" s="14">
        <f t="shared" si="6"/>
        <v>0</v>
      </c>
    </row>
    <row r="450" spans="2:13" x14ac:dyDescent="0.25">
      <c r="B450" s="10" t="str">
        <f>IF('Importér data'!C461="type",'Importér data'!F461,"")</f>
        <v/>
      </c>
      <c r="C450" s="10">
        <f>'Importér data'!H461</f>
        <v>0</v>
      </c>
      <c r="D450" s="32" t="str">
        <f>IF('Importér data'!C461="type",'Importér data'!N461,"")</f>
        <v/>
      </c>
      <c r="E450" s="24"/>
      <c r="F450" s="45"/>
      <c r="G450" s="45"/>
      <c r="H450" s="24"/>
      <c r="I450" s="25" t="str">
        <f>IFERROR(($D450/50-_xlfn.XLOOKUP($E450,$O$35:$O$43,$T$35:$T$43)*F450)/$P$9,"")</f>
        <v/>
      </c>
      <c r="J450" s="25" t="str">
        <f>IFERROR(_xlfn.XLOOKUP($E450,$O$35:$O$43,$T$35:$T$43)*G450/$P$9,"")</f>
        <v/>
      </c>
      <c r="K450" s="25" t="str">
        <f>IF(E450=$O$43,($D450/50-$T$43*$P$9)/$P$9,"")</f>
        <v/>
      </c>
      <c r="L450" s="25" t="str">
        <f>IFERROR(($D450/50-_xlfn.XLOOKUP($H450,$O$48:$O$62,$T$48:$T$62)*$P$14)/$P$9,"")</f>
        <v/>
      </c>
      <c r="M450" s="14">
        <f t="shared" si="6"/>
        <v>0</v>
      </c>
    </row>
    <row r="451" spans="2:13" x14ac:dyDescent="0.25">
      <c r="B451" s="10" t="str">
        <f>IF('Importér data'!C462="type",'Importér data'!F462,"")</f>
        <v/>
      </c>
      <c r="C451" s="10">
        <f>'Importér data'!H462</f>
        <v>0</v>
      </c>
      <c r="D451" s="32" t="str">
        <f>IF('Importér data'!C462="type",'Importér data'!N462,"")</f>
        <v/>
      </c>
      <c r="E451" s="24"/>
      <c r="F451" s="45"/>
      <c r="G451" s="45"/>
      <c r="H451" s="24"/>
      <c r="I451" s="25" t="str">
        <f>IFERROR(($D451/50-_xlfn.XLOOKUP($E451,$O$35:$O$43,$T$35:$T$43)*F451)/$P$9,"")</f>
        <v/>
      </c>
      <c r="J451" s="25" t="str">
        <f>IFERROR(_xlfn.XLOOKUP($E451,$O$35:$O$43,$T$35:$T$43)*G451/$P$9,"")</f>
        <v/>
      </c>
      <c r="K451" s="25" t="str">
        <f>IF(E451=$O$43,($D451/50-$T$43*$P$9)/$P$9,"")</f>
        <v/>
      </c>
      <c r="L451" s="25" t="str">
        <f>IFERROR(($D451/50-_xlfn.XLOOKUP($H451,$O$48:$O$62,$T$48:$T$62)*$P$14)/$P$9,"")</f>
        <v/>
      </c>
      <c r="M451" s="14">
        <f t="shared" si="6"/>
        <v>0</v>
      </c>
    </row>
    <row r="452" spans="2:13" x14ac:dyDescent="0.25">
      <c r="B452" s="10" t="str">
        <f>IF('Importér data'!C463="type",'Importér data'!F463,"")</f>
        <v/>
      </c>
      <c r="C452" s="10">
        <f>'Importér data'!H463</f>
        <v>0</v>
      </c>
      <c r="D452" s="32" t="str">
        <f>IF('Importér data'!C463="type",'Importér data'!N463,"")</f>
        <v/>
      </c>
      <c r="E452" s="24"/>
      <c r="F452" s="45"/>
      <c r="G452" s="45"/>
      <c r="H452" s="24"/>
      <c r="I452" s="25" t="str">
        <f>IFERROR(($D452/50-_xlfn.XLOOKUP($E452,$O$35:$O$43,$T$35:$T$43)*F452)/$P$9,"")</f>
        <v/>
      </c>
      <c r="J452" s="25" t="str">
        <f>IFERROR(_xlfn.XLOOKUP($E452,$O$35:$O$43,$T$35:$T$43)*G452/$P$9,"")</f>
        <v/>
      </c>
      <c r="K452" s="25" t="str">
        <f>IF(E452=$O$43,($D452/50-$T$43*$P$9)/$P$9,"")</f>
        <v/>
      </c>
      <c r="L452" s="25" t="str">
        <f>IFERROR(($D452/50-_xlfn.XLOOKUP($H452,$O$48:$O$62,$T$48:$T$62)*$P$14)/$P$9,"")</f>
        <v/>
      </c>
      <c r="M452" s="14">
        <f t="shared" si="6"/>
        <v>0</v>
      </c>
    </row>
    <row r="453" spans="2:13" x14ac:dyDescent="0.25">
      <c r="B453" s="10" t="str">
        <f>IF('Importér data'!C464="type",'Importér data'!F464,"")</f>
        <v/>
      </c>
      <c r="C453" s="10">
        <f>'Importér data'!H464</f>
        <v>0</v>
      </c>
      <c r="D453" s="32" t="str">
        <f>IF('Importér data'!C464="type",'Importér data'!N464,"")</f>
        <v/>
      </c>
      <c r="E453" s="24"/>
      <c r="F453" s="45"/>
      <c r="G453" s="45"/>
      <c r="H453" s="24"/>
      <c r="I453" s="25" t="str">
        <f>IFERROR(($D453/50-_xlfn.XLOOKUP($E453,$O$35:$O$43,$T$35:$T$43)*F453)/$P$9,"")</f>
        <v/>
      </c>
      <c r="J453" s="25" t="str">
        <f>IFERROR(_xlfn.XLOOKUP($E453,$O$35:$O$43,$T$35:$T$43)*G453/$P$9,"")</f>
        <v/>
      </c>
      <c r="K453" s="25" t="str">
        <f>IF(E453=$O$43,($D453/50-$T$43*$P$9)/$P$9,"")</f>
        <v/>
      </c>
      <c r="L453" s="25" t="str">
        <f>IFERROR(($D453/50-_xlfn.XLOOKUP($H453,$O$48:$O$62,$T$48:$T$62)*$P$14)/$P$9,"")</f>
        <v/>
      </c>
      <c r="M453" s="14">
        <f t="shared" si="6"/>
        <v>0</v>
      </c>
    </row>
    <row r="454" spans="2:13" x14ac:dyDescent="0.25">
      <c r="B454" s="10" t="str">
        <f>IF('Importér data'!C465="type",'Importér data'!F465,"")</f>
        <v/>
      </c>
      <c r="C454" s="10">
        <f>'Importér data'!H465</f>
        <v>0</v>
      </c>
      <c r="D454" s="32" t="str">
        <f>IF('Importér data'!C465="type",'Importér data'!N465,"")</f>
        <v/>
      </c>
      <c r="E454" s="24"/>
      <c r="F454" s="45"/>
      <c r="G454" s="45"/>
      <c r="H454" s="24"/>
      <c r="I454" s="25" t="str">
        <f>IFERROR(($D454/50-_xlfn.XLOOKUP($E454,$O$35:$O$43,$T$35:$T$43)*F454)/$P$9,"")</f>
        <v/>
      </c>
      <c r="J454" s="25" t="str">
        <f>IFERROR(_xlfn.XLOOKUP($E454,$O$35:$O$43,$T$35:$T$43)*G454/$P$9,"")</f>
        <v/>
      </c>
      <c r="K454" s="25" t="str">
        <f>IF(E454=$O$43,($D454/50-$T$43*$P$9)/$P$9,"")</f>
        <v/>
      </c>
      <c r="L454" s="25" t="str">
        <f>IFERROR(($D454/50-_xlfn.XLOOKUP($H454,$O$48:$O$62,$T$48:$T$62)*$P$14)/$P$9,"")</f>
        <v/>
      </c>
      <c r="M454" s="14">
        <f t="shared" ref="M454:M517" si="7">SUM(I454:L454)</f>
        <v>0</v>
      </c>
    </row>
    <row r="455" spans="2:13" x14ac:dyDescent="0.25">
      <c r="B455" s="10" t="str">
        <f>IF('Importér data'!C466="type",'Importér data'!F466,"")</f>
        <v/>
      </c>
      <c r="C455" s="10">
        <f>'Importér data'!H466</f>
        <v>0</v>
      </c>
      <c r="D455" s="32" t="str">
        <f>IF('Importér data'!C466="type",'Importér data'!N466,"")</f>
        <v/>
      </c>
      <c r="E455" s="24"/>
      <c r="F455" s="45"/>
      <c r="G455" s="45"/>
      <c r="H455" s="24"/>
      <c r="I455" s="25" t="str">
        <f>IFERROR(($D455/50-_xlfn.XLOOKUP($E455,$O$35:$O$43,$T$35:$T$43)*F455)/$P$9,"")</f>
        <v/>
      </c>
      <c r="J455" s="25" t="str">
        <f>IFERROR(_xlfn.XLOOKUP($E455,$O$35:$O$43,$T$35:$T$43)*G455/$P$9,"")</f>
        <v/>
      </c>
      <c r="K455" s="25" t="str">
        <f>IF(E455=$O$43,($D455/50-$T$43*$P$9)/$P$9,"")</f>
        <v/>
      </c>
      <c r="L455" s="25" t="str">
        <f>IFERROR(($D455/50-_xlfn.XLOOKUP($H455,$O$48:$O$62,$T$48:$T$62)*$P$14)/$P$9,"")</f>
        <v/>
      </c>
      <c r="M455" s="14">
        <f t="shared" si="7"/>
        <v>0</v>
      </c>
    </row>
    <row r="456" spans="2:13" x14ac:dyDescent="0.25">
      <c r="B456" s="10" t="str">
        <f>IF('Importér data'!C467="type",'Importér data'!F467,"")</f>
        <v/>
      </c>
      <c r="C456" s="10">
        <f>'Importér data'!H467</f>
        <v>0</v>
      </c>
      <c r="D456" s="32" t="str">
        <f>IF('Importér data'!C467="type",'Importér data'!N467,"")</f>
        <v/>
      </c>
      <c r="E456" s="24"/>
      <c r="F456" s="45"/>
      <c r="G456" s="45"/>
      <c r="H456" s="24"/>
      <c r="I456" s="25" t="str">
        <f>IFERROR(($D456/50-_xlfn.XLOOKUP($E456,$O$35:$O$43,$T$35:$T$43)*F456)/$P$9,"")</f>
        <v/>
      </c>
      <c r="J456" s="25" t="str">
        <f>IFERROR(_xlfn.XLOOKUP($E456,$O$35:$O$43,$T$35:$T$43)*G456/$P$9,"")</f>
        <v/>
      </c>
      <c r="K456" s="25" t="str">
        <f>IF(E456=$O$43,($D456/50-$T$43*$P$9)/$P$9,"")</f>
        <v/>
      </c>
      <c r="L456" s="25" t="str">
        <f>IFERROR(($D456/50-_xlfn.XLOOKUP($H456,$O$48:$O$62,$T$48:$T$62)*$P$14)/$P$9,"")</f>
        <v/>
      </c>
      <c r="M456" s="14">
        <f t="shared" si="7"/>
        <v>0</v>
      </c>
    </row>
    <row r="457" spans="2:13" x14ac:dyDescent="0.25">
      <c r="B457" s="10" t="str">
        <f>IF('Importér data'!C468="type",'Importér data'!F468,"")</f>
        <v/>
      </c>
      <c r="C457" s="10">
        <f>'Importér data'!H468</f>
        <v>0</v>
      </c>
      <c r="D457" s="32" t="str">
        <f>IF('Importér data'!C468="type",'Importér data'!N468,"")</f>
        <v/>
      </c>
      <c r="E457" s="24"/>
      <c r="F457" s="45"/>
      <c r="G457" s="45"/>
      <c r="H457" s="24"/>
      <c r="I457" s="25" t="str">
        <f>IFERROR(($D457/50-_xlfn.XLOOKUP($E457,$O$35:$O$43,$T$35:$T$43)*F457)/$P$9,"")</f>
        <v/>
      </c>
      <c r="J457" s="25" t="str">
        <f>IFERROR(_xlfn.XLOOKUP($E457,$O$35:$O$43,$T$35:$T$43)*G457/$P$9,"")</f>
        <v/>
      </c>
      <c r="K457" s="25" t="str">
        <f>IF(E457=$O$43,($D457/50-$T$43*$P$9)/$P$9,"")</f>
        <v/>
      </c>
      <c r="L457" s="25" t="str">
        <f>IFERROR(($D457/50-_xlfn.XLOOKUP($H457,$O$48:$O$62,$T$48:$T$62)*$P$14)/$P$9,"")</f>
        <v/>
      </c>
      <c r="M457" s="14">
        <f t="shared" si="7"/>
        <v>0</v>
      </c>
    </row>
    <row r="458" spans="2:13" x14ac:dyDescent="0.25">
      <c r="B458" s="10" t="str">
        <f>IF('Importér data'!C469="type",'Importér data'!F469,"")</f>
        <v/>
      </c>
      <c r="C458" s="10">
        <f>'Importér data'!H469</f>
        <v>0</v>
      </c>
      <c r="D458" s="32" t="str">
        <f>IF('Importér data'!C469="type",'Importér data'!N469,"")</f>
        <v/>
      </c>
      <c r="E458" s="24"/>
      <c r="F458" s="45"/>
      <c r="G458" s="45"/>
      <c r="H458" s="24"/>
      <c r="I458" s="25" t="str">
        <f>IFERROR(($D458/50-_xlfn.XLOOKUP($E458,$O$35:$O$43,$T$35:$T$43)*F458)/$P$9,"")</f>
        <v/>
      </c>
      <c r="J458" s="25" t="str">
        <f>IFERROR(_xlfn.XLOOKUP($E458,$O$35:$O$43,$T$35:$T$43)*G458/$P$9,"")</f>
        <v/>
      </c>
      <c r="K458" s="25" t="str">
        <f>IF(E458=$O$43,($D458/50-$T$43*$P$9)/$P$9,"")</f>
        <v/>
      </c>
      <c r="L458" s="25" t="str">
        <f>IFERROR(($D458/50-_xlfn.XLOOKUP($H458,$O$48:$O$62,$T$48:$T$62)*$P$14)/$P$9,"")</f>
        <v/>
      </c>
      <c r="M458" s="14">
        <f t="shared" si="7"/>
        <v>0</v>
      </c>
    </row>
    <row r="459" spans="2:13" x14ac:dyDescent="0.25">
      <c r="B459" s="10" t="str">
        <f>IF('Importér data'!C470="type",'Importér data'!F470,"")</f>
        <v/>
      </c>
      <c r="C459" s="10">
        <f>'Importér data'!H470</f>
        <v>0</v>
      </c>
      <c r="D459" s="32" t="str">
        <f>IF('Importér data'!C470="type",'Importér data'!N470,"")</f>
        <v/>
      </c>
      <c r="E459" s="24"/>
      <c r="F459" s="45"/>
      <c r="G459" s="45"/>
      <c r="H459" s="24"/>
      <c r="I459" s="25" t="str">
        <f>IFERROR(($D459/50-_xlfn.XLOOKUP($E459,$O$35:$O$43,$T$35:$T$43)*F459)/$P$9,"")</f>
        <v/>
      </c>
      <c r="J459" s="25" t="str">
        <f>IFERROR(_xlfn.XLOOKUP($E459,$O$35:$O$43,$T$35:$T$43)*G459/$P$9,"")</f>
        <v/>
      </c>
      <c r="K459" s="25" t="str">
        <f>IF(E459=$O$43,($D459/50-$T$43*$P$9)/$P$9,"")</f>
        <v/>
      </c>
      <c r="L459" s="25" t="str">
        <f>IFERROR(($D459/50-_xlfn.XLOOKUP($H459,$O$48:$O$62,$T$48:$T$62)*$P$14)/$P$9,"")</f>
        <v/>
      </c>
      <c r="M459" s="14">
        <f t="shared" si="7"/>
        <v>0</v>
      </c>
    </row>
    <row r="460" spans="2:13" x14ac:dyDescent="0.25">
      <c r="B460" s="10" t="str">
        <f>IF('Importér data'!C471="type",'Importér data'!F471,"")</f>
        <v/>
      </c>
      <c r="C460" s="10">
        <f>'Importér data'!H471</f>
        <v>0</v>
      </c>
      <c r="D460" s="32" t="str">
        <f>IF('Importér data'!C471="type",'Importér data'!N471,"")</f>
        <v/>
      </c>
      <c r="E460" s="24"/>
      <c r="F460" s="45"/>
      <c r="G460" s="45"/>
      <c r="H460" s="24"/>
      <c r="I460" s="25" t="str">
        <f>IFERROR(($D460/50-_xlfn.XLOOKUP($E460,$O$35:$O$43,$T$35:$T$43)*F460)/$P$9,"")</f>
        <v/>
      </c>
      <c r="J460" s="25" t="str">
        <f>IFERROR(_xlfn.XLOOKUP($E460,$O$35:$O$43,$T$35:$T$43)*G460/$P$9,"")</f>
        <v/>
      </c>
      <c r="K460" s="25" t="str">
        <f>IF(E460=$O$43,($D460/50-$T$43*$P$9)/$P$9,"")</f>
        <v/>
      </c>
      <c r="L460" s="25" t="str">
        <f>IFERROR(($D460/50-_xlfn.XLOOKUP($H460,$O$48:$O$62,$T$48:$T$62)*$P$14)/$P$9,"")</f>
        <v/>
      </c>
      <c r="M460" s="14">
        <f t="shared" si="7"/>
        <v>0</v>
      </c>
    </row>
    <row r="461" spans="2:13" x14ac:dyDescent="0.25">
      <c r="B461" s="10" t="str">
        <f>IF('Importér data'!C472="type",'Importér data'!F472,"")</f>
        <v/>
      </c>
      <c r="C461" s="10">
        <f>'Importér data'!H472</f>
        <v>0</v>
      </c>
      <c r="D461" s="32" t="str">
        <f>IF('Importér data'!C472="type",'Importér data'!N472,"")</f>
        <v/>
      </c>
      <c r="E461" s="24"/>
      <c r="F461" s="45"/>
      <c r="G461" s="45"/>
      <c r="H461" s="24"/>
      <c r="I461" s="25" t="str">
        <f>IFERROR(($D461/50-_xlfn.XLOOKUP($E461,$O$35:$O$43,$T$35:$T$43)*F461)/$P$9,"")</f>
        <v/>
      </c>
      <c r="J461" s="25" t="str">
        <f>IFERROR(_xlfn.XLOOKUP($E461,$O$35:$O$43,$T$35:$T$43)*G461/$P$9,"")</f>
        <v/>
      </c>
      <c r="K461" s="25" t="str">
        <f>IF(E461=$O$43,($D461/50-$T$43*$P$9)/$P$9,"")</f>
        <v/>
      </c>
      <c r="L461" s="25" t="str">
        <f>IFERROR(($D461/50-_xlfn.XLOOKUP($H461,$O$48:$O$62,$T$48:$T$62)*$P$14)/$P$9,"")</f>
        <v/>
      </c>
      <c r="M461" s="14">
        <f t="shared" si="7"/>
        <v>0</v>
      </c>
    </row>
    <row r="462" spans="2:13" x14ac:dyDescent="0.25">
      <c r="B462" s="10" t="str">
        <f>IF('Importér data'!C473="type",'Importér data'!F473,"")</f>
        <v/>
      </c>
      <c r="C462" s="10">
        <f>'Importér data'!H473</f>
        <v>0</v>
      </c>
      <c r="D462" s="32" t="str">
        <f>IF('Importér data'!C473="type",'Importér data'!N473,"")</f>
        <v/>
      </c>
      <c r="E462" s="24"/>
      <c r="F462" s="45"/>
      <c r="G462" s="45"/>
      <c r="H462" s="24"/>
      <c r="I462" s="25" t="str">
        <f>IFERROR(($D462/50-_xlfn.XLOOKUP($E462,$O$35:$O$43,$T$35:$T$43)*F462)/$P$9,"")</f>
        <v/>
      </c>
      <c r="J462" s="25" t="str">
        <f>IFERROR(_xlfn.XLOOKUP($E462,$O$35:$O$43,$T$35:$T$43)*G462/$P$9,"")</f>
        <v/>
      </c>
      <c r="K462" s="25" t="str">
        <f>IF(E462=$O$43,($D462/50-$T$43*$P$9)/$P$9,"")</f>
        <v/>
      </c>
      <c r="L462" s="25" t="str">
        <f>IFERROR(($D462/50-_xlfn.XLOOKUP($H462,$O$48:$O$62,$T$48:$T$62)*$P$14)/$P$9,"")</f>
        <v/>
      </c>
      <c r="M462" s="14">
        <f t="shared" si="7"/>
        <v>0</v>
      </c>
    </row>
    <row r="463" spans="2:13" x14ac:dyDescent="0.25">
      <c r="B463" s="10" t="str">
        <f>IF('Importér data'!C474="type",'Importér data'!F474,"")</f>
        <v/>
      </c>
      <c r="C463" s="10">
        <f>'Importér data'!H474</f>
        <v>0</v>
      </c>
      <c r="D463" s="32" t="str">
        <f>IF('Importér data'!C474="type",'Importér data'!N474,"")</f>
        <v/>
      </c>
      <c r="E463" s="24"/>
      <c r="F463" s="45"/>
      <c r="G463" s="45"/>
      <c r="H463" s="24"/>
      <c r="I463" s="25" t="str">
        <f>IFERROR(($D463/50-_xlfn.XLOOKUP($E463,$O$35:$O$43,$T$35:$T$43)*F463)/$P$9,"")</f>
        <v/>
      </c>
      <c r="J463" s="25" t="str">
        <f>IFERROR(_xlfn.XLOOKUP($E463,$O$35:$O$43,$T$35:$T$43)*G463/$P$9,"")</f>
        <v/>
      </c>
      <c r="K463" s="25" t="str">
        <f>IF(E463=$O$43,($D463/50-$T$43*$P$9)/$P$9,"")</f>
        <v/>
      </c>
      <c r="L463" s="25" t="str">
        <f>IFERROR(($D463/50-_xlfn.XLOOKUP($H463,$O$48:$O$62,$T$48:$T$62)*$P$14)/$P$9,"")</f>
        <v/>
      </c>
      <c r="M463" s="14">
        <f t="shared" si="7"/>
        <v>0</v>
      </c>
    </row>
    <row r="464" spans="2:13" x14ac:dyDescent="0.25">
      <c r="B464" s="10" t="str">
        <f>IF('Importér data'!C475="type",'Importér data'!F475,"")</f>
        <v/>
      </c>
      <c r="C464" s="10">
        <f>'Importér data'!H475</f>
        <v>0</v>
      </c>
      <c r="D464" s="32" t="str">
        <f>IF('Importér data'!C475="type",'Importér data'!N475,"")</f>
        <v/>
      </c>
      <c r="E464" s="24"/>
      <c r="F464" s="45"/>
      <c r="G464" s="45"/>
      <c r="H464" s="24"/>
      <c r="I464" s="25" t="str">
        <f>IFERROR(($D464/50-_xlfn.XLOOKUP($E464,$O$35:$O$43,$T$35:$T$43)*F464)/$P$9,"")</f>
        <v/>
      </c>
      <c r="J464" s="25" t="str">
        <f>IFERROR(_xlfn.XLOOKUP($E464,$O$35:$O$43,$T$35:$T$43)*G464/$P$9,"")</f>
        <v/>
      </c>
      <c r="K464" s="25" t="str">
        <f>IF(E464=$O$43,($D464/50-$T$43*$P$9)/$P$9,"")</f>
        <v/>
      </c>
      <c r="L464" s="25" t="str">
        <f>IFERROR(($D464/50-_xlfn.XLOOKUP($H464,$O$48:$O$62,$T$48:$T$62)*$P$14)/$P$9,"")</f>
        <v/>
      </c>
      <c r="M464" s="14">
        <f t="shared" si="7"/>
        <v>0</v>
      </c>
    </row>
    <row r="465" spans="2:13" x14ac:dyDescent="0.25">
      <c r="B465" s="10" t="str">
        <f>IF('Importér data'!C476="type",'Importér data'!F476,"")</f>
        <v/>
      </c>
      <c r="C465" s="10">
        <f>'Importér data'!H476</f>
        <v>0</v>
      </c>
      <c r="D465" s="32" t="str">
        <f>IF('Importér data'!C476="type",'Importér data'!N476,"")</f>
        <v/>
      </c>
      <c r="E465" s="24"/>
      <c r="F465" s="45"/>
      <c r="G465" s="45"/>
      <c r="H465" s="24"/>
      <c r="I465" s="25" t="str">
        <f>IFERROR(($D465/50-_xlfn.XLOOKUP($E465,$O$35:$O$43,$T$35:$T$43)*F465)/$P$9,"")</f>
        <v/>
      </c>
      <c r="J465" s="25" t="str">
        <f>IFERROR(_xlfn.XLOOKUP($E465,$O$35:$O$43,$T$35:$T$43)*G465/$P$9,"")</f>
        <v/>
      </c>
      <c r="K465" s="25" t="str">
        <f>IF(E465=$O$43,($D465/50-$T$43*$P$9)/$P$9,"")</f>
        <v/>
      </c>
      <c r="L465" s="25" t="str">
        <f>IFERROR(($D465/50-_xlfn.XLOOKUP($H465,$O$48:$O$62,$T$48:$T$62)*$P$14)/$P$9,"")</f>
        <v/>
      </c>
      <c r="M465" s="14">
        <f t="shared" si="7"/>
        <v>0</v>
      </c>
    </row>
    <row r="466" spans="2:13" x14ac:dyDescent="0.25">
      <c r="B466" s="10" t="str">
        <f>IF('Importér data'!C477="type",'Importér data'!F477,"")</f>
        <v/>
      </c>
      <c r="C466" s="10">
        <f>'Importér data'!H477</f>
        <v>0</v>
      </c>
      <c r="D466" s="32" t="str">
        <f>IF('Importér data'!C477="type",'Importér data'!N477,"")</f>
        <v/>
      </c>
      <c r="E466" s="24"/>
      <c r="F466" s="45"/>
      <c r="G466" s="45"/>
      <c r="H466" s="24"/>
      <c r="I466" s="25" t="str">
        <f>IFERROR(($D466/50-_xlfn.XLOOKUP($E466,$O$35:$O$43,$T$35:$T$43)*F466)/$P$9,"")</f>
        <v/>
      </c>
      <c r="J466" s="25" t="str">
        <f>IFERROR(_xlfn.XLOOKUP($E466,$O$35:$O$43,$T$35:$T$43)*G466/$P$9,"")</f>
        <v/>
      </c>
      <c r="K466" s="25" t="str">
        <f>IF(E466=$O$43,($D466/50-$T$43*$P$9)/$P$9,"")</f>
        <v/>
      </c>
      <c r="L466" s="25" t="str">
        <f>IFERROR(($D466/50-_xlfn.XLOOKUP($H466,$O$48:$O$62,$T$48:$T$62)*$P$14)/$P$9,"")</f>
        <v/>
      </c>
      <c r="M466" s="14">
        <f t="shared" si="7"/>
        <v>0</v>
      </c>
    </row>
    <row r="467" spans="2:13" x14ac:dyDescent="0.25">
      <c r="B467" s="10" t="str">
        <f>IF('Importér data'!C478="type",'Importér data'!F478,"")</f>
        <v/>
      </c>
      <c r="C467" s="10">
        <f>'Importér data'!H478</f>
        <v>0</v>
      </c>
      <c r="D467" s="32" t="str">
        <f>IF('Importér data'!C478="type",'Importér data'!N478,"")</f>
        <v/>
      </c>
      <c r="E467" s="24"/>
      <c r="F467" s="45"/>
      <c r="G467" s="45"/>
      <c r="H467" s="24"/>
      <c r="I467" s="25" t="str">
        <f>IFERROR(($D467/50-_xlfn.XLOOKUP($E467,$O$35:$O$43,$T$35:$T$43)*F467)/$P$9,"")</f>
        <v/>
      </c>
      <c r="J467" s="25" t="str">
        <f>IFERROR(_xlfn.XLOOKUP($E467,$O$35:$O$43,$T$35:$T$43)*G467/$P$9,"")</f>
        <v/>
      </c>
      <c r="K467" s="25" t="str">
        <f>IF(E467=$O$43,($D467/50-$T$43*$P$9)/$P$9,"")</f>
        <v/>
      </c>
      <c r="L467" s="25" t="str">
        <f>IFERROR(($D467/50-_xlfn.XLOOKUP($H467,$O$48:$O$62,$T$48:$T$62)*$P$14)/$P$9,"")</f>
        <v/>
      </c>
      <c r="M467" s="14">
        <f t="shared" si="7"/>
        <v>0</v>
      </c>
    </row>
    <row r="468" spans="2:13" x14ac:dyDescent="0.25">
      <c r="B468" s="10" t="str">
        <f>IF('Importér data'!C479="type",'Importér data'!F479,"")</f>
        <v/>
      </c>
      <c r="C468" s="10">
        <f>'Importér data'!H479</f>
        <v>0</v>
      </c>
      <c r="D468" s="32" t="str">
        <f>IF('Importér data'!C479="type",'Importér data'!N479,"")</f>
        <v/>
      </c>
      <c r="E468" s="24"/>
      <c r="F468" s="45"/>
      <c r="G468" s="45"/>
      <c r="H468" s="24"/>
      <c r="I468" s="25" t="str">
        <f>IFERROR(($D468/50-_xlfn.XLOOKUP($E468,$O$35:$O$43,$T$35:$T$43)*F468)/$P$9,"")</f>
        <v/>
      </c>
      <c r="J468" s="25" t="str">
        <f>IFERROR(_xlfn.XLOOKUP($E468,$O$35:$O$43,$T$35:$T$43)*G468/$P$9,"")</f>
        <v/>
      </c>
      <c r="K468" s="25" t="str">
        <f>IF(E468=$O$43,($D468/50-$T$43*$P$9)/$P$9,"")</f>
        <v/>
      </c>
      <c r="L468" s="25" t="str">
        <f>IFERROR(($D468/50-_xlfn.XLOOKUP($H468,$O$48:$O$62,$T$48:$T$62)*$P$14)/$P$9,"")</f>
        <v/>
      </c>
      <c r="M468" s="14">
        <f t="shared" si="7"/>
        <v>0</v>
      </c>
    </row>
    <row r="469" spans="2:13" x14ac:dyDescent="0.25">
      <c r="B469" s="10" t="str">
        <f>IF('Importér data'!C480="type",'Importér data'!F480,"")</f>
        <v/>
      </c>
      <c r="C469" s="10">
        <f>'Importér data'!H480</f>
        <v>0</v>
      </c>
      <c r="D469" s="32" t="str">
        <f>IF('Importér data'!C480="type",'Importér data'!N480,"")</f>
        <v/>
      </c>
      <c r="E469" s="24"/>
      <c r="F469" s="45"/>
      <c r="G469" s="45"/>
      <c r="H469" s="24"/>
      <c r="I469" s="25" t="str">
        <f>IFERROR(($D469/50-_xlfn.XLOOKUP($E469,$O$35:$O$43,$T$35:$T$43)*F469)/$P$9,"")</f>
        <v/>
      </c>
      <c r="J469" s="25" t="str">
        <f>IFERROR(_xlfn.XLOOKUP($E469,$O$35:$O$43,$T$35:$T$43)*G469/$P$9,"")</f>
        <v/>
      </c>
      <c r="K469" s="25" t="str">
        <f>IF(E469=$O$43,($D469/50-$T$43*$P$9)/$P$9,"")</f>
        <v/>
      </c>
      <c r="L469" s="25" t="str">
        <f>IFERROR(($D469/50-_xlfn.XLOOKUP($H469,$O$48:$O$62,$T$48:$T$62)*$P$14)/$P$9,"")</f>
        <v/>
      </c>
      <c r="M469" s="14">
        <f t="shared" si="7"/>
        <v>0</v>
      </c>
    </row>
    <row r="470" spans="2:13" x14ac:dyDescent="0.25">
      <c r="B470" s="10" t="str">
        <f>IF('Importér data'!C481="type",'Importér data'!F481,"")</f>
        <v/>
      </c>
      <c r="C470" s="10">
        <f>'Importér data'!H481</f>
        <v>0</v>
      </c>
      <c r="D470" s="32" t="str">
        <f>IF('Importér data'!C481="type",'Importér data'!N481,"")</f>
        <v/>
      </c>
      <c r="E470" s="24"/>
      <c r="F470" s="45"/>
      <c r="G470" s="45"/>
      <c r="H470" s="24"/>
      <c r="I470" s="25" t="str">
        <f>IFERROR(($D470/50-_xlfn.XLOOKUP($E470,$O$35:$O$43,$T$35:$T$43)*F470)/$P$9,"")</f>
        <v/>
      </c>
      <c r="J470" s="25" t="str">
        <f>IFERROR(_xlfn.XLOOKUP($E470,$O$35:$O$43,$T$35:$T$43)*G470/$P$9,"")</f>
        <v/>
      </c>
      <c r="K470" s="25" t="str">
        <f>IF(E470=$O$43,($D470/50-$T$43*$P$9)/$P$9,"")</f>
        <v/>
      </c>
      <c r="L470" s="25" t="str">
        <f>IFERROR(($D470/50-_xlfn.XLOOKUP($H470,$O$48:$O$62,$T$48:$T$62)*$P$14)/$P$9,"")</f>
        <v/>
      </c>
      <c r="M470" s="14">
        <f t="shared" si="7"/>
        <v>0</v>
      </c>
    </row>
    <row r="471" spans="2:13" x14ac:dyDescent="0.25">
      <c r="B471" s="10" t="str">
        <f>IF('Importér data'!C482="type",'Importér data'!F482,"")</f>
        <v/>
      </c>
      <c r="C471" s="10">
        <f>'Importér data'!H482</f>
        <v>0</v>
      </c>
      <c r="D471" s="32" t="str">
        <f>IF('Importér data'!C482="type",'Importér data'!N482,"")</f>
        <v/>
      </c>
      <c r="E471" s="24"/>
      <c r="F471" s="45"/>
      <c r="G471" s="45"/>
      <c r="H471" s="24"/>
      <c r="I471" s="25" t="str">
        <f>IFERROR(($D471/50-_xlfn.XLOOKUP($E471,$O$35:$O$43,$T$35:$T$43)*F471)/$P$9,"")</f>
        <v/>
      </c>
      <c r="J471" s="25" t="str">
        <f>IFERROR(_xlfn.XLOOKUP($E471,$O$35:$O$43,$T$35:$T$43)*G471/$P$9,"")</f>
        <v/>
      </c>
      <c r="K471" s="25" t="str">
        <f>IF(E471=$O$43,($D471/50-$T$43*$P$9)/$P$9,"")</f>
        <v/>
      </c>
      <c r="L471" s="25" t="str">
        <f>IFERROR(($D471/50-_xlfn.XLOOKUP($H471,$O$48:$O$62,$T$48:$T$62)*$P$14)/$P$9,"")</f>
        <v/>
      </c>
      <c r="M471" s="14">
        <f t="shared" si="7"/>
        <v>0</v>
      </c>
    </row>
    <row r="472" spans="2:13" x14ac:dyDescent="0.25">
      <c r="B472" s="10" t="str">
        <f>IF('Importér data'!C483="type",'Importér data'!F483,"")</f>
        <v/>
      </c>
      <c r="C472" s="10">
        <f>'Importér data'!H483</f>
        <v>0</v>
      </c>
      <c r="D472" s="32" t="str">
        <f>IF('Importér data'!C483="type",'Importér data'!N483,"")</f>
        <v/>
      </c>
      <c r="E472" s="24"/>
      <c r="F472" s="45"/>
      <c r="G472" s="45"/>
      <c r="H472" s="24"/>
      <c r="I472" s="25" t="str">
        <f>IFERROR(($D472/50-_xlfn.XLOOKUP($E472,$O$35:$O$43,$T$35:$T$43)*F472)/$P$9,"")</f>
        <v/>
      </c>
      <c r="J472" s="25" t="str">
        <f>IFERROR(_xlfn.XLOOKUP($E472,$O$35:$O$43,$T$35:$T$43)*G472/$P$9,"")</f>
        <v/>
      </c>
      <c r="K472" s="25" t="str">
        <f>IF(E472=$O$43,($D472/50-$T$43*$P$9)/$P$9,"")</f>
        <v/>
      </c>
      <c r="L472" s="25" t="str">
        <f>IFERROR(($D472/50-_xlfn.XLOOKUP($H472,$O$48:$O$62,$T$48:$T$62)*$P$14)/$P$9,"")</f>
        <v/>
      </c>
      <c r="M472" s="14">
        <f t="shared" si="7"/>
        <v>0</v>
      </c>
    </row>
    <row r="473" spans="2:13" x14ac:dyDescent="0.25">
      <c r="B473" s="10" t="str">
        <f>IF('Importér data'!C484="type",'Importér data'!F484,"")</f>
        <v/>
      </c>
      <c r="C473" s="10">
        <f>'Importér data'!H484</f>
        <v>0</v>
      </c>
      <c r="D473" s="32" t="str">
        <f>IF('Importér data'!C484="type",'Importér data'!N484,"")</f>
        <v/>
      </c>
      <c r="E473" s="24"/>
      <c r="F473" s="45"/>
      <c r="G473" s="45"/>
      <c r="H473" s="24"/>
      <c r="I473" s="25" t="str">
        <f>IFERROR(($D473/50-_xlfn.XLOOKUP($E473,$O$35:$O$43,$T$35:$T$43)*F473)/$P$9,"")</f>
        <v/>
      </c>
      <c r="J473" s="25" t="str">
        <f>IFERROR(_xlfn.XLOOKUP($E473,$O$35:$O$43,$T$35:$T$43)*G473/$P$9,"")</f>
        <v/>
      </c>
      <c r="K473" s="25" t="str">
        <f>IF(E473=$O$43,($D473/50-$T$43*$P$9)/$P$9,"")</f>
        <v/>
      </c>
      <c r="L473" s="25" t="str">
        <f>IFERROR(($D473/50-_xlfn.XLOOKUP($H473,$O$48:$O$62,$T$48:$T$62)*$P$14)/$P$9,"")</f>
        <v/>
      </c>
      <c r="M473" s="14">
        <f t="shared" si="7"/>
        <v>0</v>
      </c>
    </row>
    <row r="474" spans="2:13" x14ac:dyDescent="0.25">
      <c r="B474" s="10" t="str">
        <f>IF('Importér data'!C485="type",'Importér data'!F485,"")</f>
        <v/>
      </c>
      <c r="C474" s="10">
        <f>'Importér data'!H485</f>
        <v>0</v>
      </c>
      <c r="D474" s="32" t="str">
        <f>IF('Importér data'!C485="type",'Importér data'!N485,"")</f>
        <v/>
      </c>
      <c r="E474" s="24"/>
      <c r="F474" s="45"/>
      <c r="G474" s="45"/>
      <c r="H474" s="24"/>
      <c r="I474" s="25" t="str">
        <f>IFERROR(($D474/50-_xlfn.XLOOKUP($E474,$O$35:$O$43,$T$35:$T$43)*F474)/$P$9,"")</f>
        <v/>
      </c>
      <c r="J474" s="25" t="str">
        <f>IFERROR(_xlfn.XLOOKUP($E474,$O$35:$O$43,$T$35:$T$43)*G474/$P$9,"")</f>
        <v/>
      </c>
      <c r="K474" s="25" t="str">
        <f>IF(E474=$O$43,($D474/50-$T$43*$P$9)/$P$9,"")</f>
        <v/>
      </c>
      <c r="L474" s="25" t="str">
        <f>IFERROR(($D474/50-_xlfn.XLOOKUP($H474,$O$48:$O$62,$T$48:$T$62)*$P$14)/$P$9,"")</f>
        <v/>
      </c>
      <c r="M474" s="14">
        <f t="shared" si="7"/>
        <v>0</v>
      </c>
    </row>
    <row r="475" spans="2:13" x14ac:dyDescent="0.25">
      <c r="B475" s="10" t="str">
        <f>IF('Importér data'!C486="type",'Importér data'!F486,"")</f>
        <v/>
      </c>
      <c r="C475" s="10">
        <f>'Importér data'!H486</f>
        <v>0</v>
      </c>
      <c r="D475" s="32" t="str">
        <f>IF('Importér data'!C486="type",'Importér data'!N486,"")</f>
        <v/>
      </c>
      <c r="E475" s="24"/>
      <c r="F475" s="45"/>
      <c r="G475" s="45"/>
      <c r="H475" s="24"/>
      <c r="I475" s="25" t="str">
        <f>IFERROR(($D475/50-_xlfn.XLOOKUP($E475,$O$35:$O$43,$T$35:$T$43)*F475)/$P$9,"")</f>
        <v/>
      </c>
      <c r="J475" s="25" t="str">
        <f>IFERROR(_xlfn.XLOOKUP($E475,$O$35:$O$43,$T$35:$T$43)*G475/$P$9,"")</f>
        <v/>
      </c>
      <c r="K475" s="25" t="str">
        <f>IF(E475=$O$43,($D475/50-$T$43*$P$9)/$P$9,"")</f>
        <v/>
      </c>
      <c r="L475" s="25" t="str">
        <f>IFERROR(($D475/50-_xlfn.XLOOKUP($H475,$O$48:$O$62,$T$48:$T$62)*$P$14)/$P$9,"")</f>
        <v/>
      </c>
      <c r="M475" s="14">
        <f t="shared" si="7"/>
        <v>0</v>
      </c>
    </row>
    <row r="476" spans="2:13" x14ac:dyDescent="0.25">
      <c r="B476" s="10" t="str">
        <f>IF('Importér data'!C487="type",'Importér data'!F487,"")</f>
        <v/>
      </c>
      <c r="C476" s="10">
        <f>'Importér data'!H487</f>
        <v>0</v>
      </c>
      <c r="D476" s="32" t="str">
        <f>IF('Importér data'!C487="type",'Importér data'!N487,"")</f>
        <v/>
      </c>
      <c r="E476" s="24"/>
      <c r="F476" s="45"/>
      <c r="G476" s="45"/>
      <c r="H476" s="24"/>
      <c r="I476" s="25" t="str">
        <f>IFERROR(($D476/50-_xlfn.XLOOKUP($E476,$O$35:$O$43,$T$35:$T$43)*F476)/$P$9,"")</f>
        <v/>
      </c>
      <c r="J476" s="25" t="str">
        <f>IFERROR(_xlfn.XLOOKUP($E476,$O$35:$O$43,$T$35:$T$43)*G476/$P$9,"")</f>
        <v/>
      </c>
      <c r="K476" s="25" t="str">
        <f>IF(E476=$O$43,($D476/50-$T$43*$P$9)/$P$9,"")</f>
        <v/>
      </c>
      <c r="L476" s="25" t="str">
        <f>IFERROR(($D476/50-_xlfn.XLOOKUP($H476,$O$48:$O$62,$T$48:$T$62)*$P$14)/$P$9,"")</f>
        <v/>
      </c>
      <c r="M476" s="14">
        <f t="shared" si="7"/>
        <v>0</v>
      </c>
    </row>
    <row r="477" spans="2:13" x14ac:dyDescent="0.25">
      <c r="B477" s="10" t="str">
        <f>IF('Importér data'!C488="type",'Importér data'!F488,"")</f>
        <v/>
      </c>
      <c r="C477" s="10">
        <f>'Importér data'!H488</f>
        <v>0</v>
      </c>
      <c r="D477" s="32" t="str">
        <f>IF('Importér data'!C488="type",'Importér data'!N488,"")</f>
        <v/>
      </c>
      <c r="E477" s="24"/>
      <c r="F477" s="45"/>
      <c r="G477" s="45"/>
      <c r="H477" s="24"/>
      <c r="I477" s="25" t="str">
        <f>IFERROR(($D477/50-_xlfn.XLOOKUP($E477,$O$35:$O$43,$T$35:$T$43)*F477)/$P$9,"")</f>
        <v/>
      </c>
      <c r="J477" s="25" t="str">
        <f>IFERROR(_xlfn.XLOOKUP($E477,$O$35:$O$43,$T$35:$T$43)*G477/$P$9,"")</f>
        <v/>
      </c>
      <c r="K477" s="25" t="str">
        <f>IF(E477=$O$43,($D477/50-$T$43*$P$9)/$P$9,"")</f>
        <v/>
      </c>
      <c r="L477" s="25" t="str">
        <f>IFERROR(($D477/50-_xlfn.XLOOKUP($H477,$O$48:$O$62,$T$48:$T$62)*$P$14)/$P$9,"")</f>
        <v/>
      </c>
      <c r="M477" s="14">
        <f t="shared" si="7"/>
        <v>0</v>
      </c>
    </row>
    <row r="478" spans="2:13" x14ac:dyDescent="0.25">
      <c r="B478" s="10" t="str">
        <f>IF('Importér data'!C489="type",'Importér data'!F489,"")</f>
        <v/>
      </c>
      <c r="C478" s="10">
        <f>'Importér data'!H489</f>
        <v>0</v>
      </c>
      <c r="D478" s="32" t="str">
        <f>IF('Importér data'!C489="type",'Importér data'!N489,"")</f>
        <v/>
      </c>
      <c r="E478" s="24"/>
      <c r="F478" s="45"/>
      <c r="G478" s="45"/>
      <c r="H478" s="24"/>
      <c r="I478" s="25" t="str">
        <f>IFERROR(($D478/50-_xlfn.XLOOKUP($E478,$O$35:$O$43,$T$35:$T$43)*F478)/$P$9,"")</f>
        <v/>
      </c>
      <c r="J478" s="25" t="str">
        <f>IFERROR(_xlfn.XLOOKUP($E478,$O$35:$O$43,$T$35:$T$43)*G478/$P$9,"")</f>
        <v/>
      </c>
      <c r="K478" s="25" t="str">
        <f>IF(E478=$O$43,($D478/50-$T$43*$P$9)/$P$9,"")</f>
        <v/>
      </c>
      <c r="L478" s="25" t="str">
        <f>IFERROR(($D478/50-_xlfn.XLOOKUP($H478,$O$48:$O$62,$T$48:$T$62)*$P$14)/$P$9,"")</f>
        <v/>
      </c>
      <c r="M478" s="14">
        <f t="shared" si="7"/>
        <v>0</v>
      </c>
    </row>
    <row r="479" spans="2:13" x14ac:dyDescent="0.25">
      <c r="B479" s="10" t="str">
        <f>IF('Importér data'!C490="type",'Importér data'!F490,"")</f>
        <v/>
      </c>
      <c r="C479" s="10">
        <f>'Importér data'!H490</f>
        <v>0</v>
      </c>
      <c r="D479" s="32" t="str">
        <f>IF('Importér data'!C490="type",'Importér data'!N490,"")</f>
        <v/>
      </c>
      <c r="E479" s="24"/>
      <c r="F479" s="45"/>
      <c r="G479" s="45"/>
      <c r="H479" s="24"/>
      <c r="I479" s="25" t="str">
        <f>IFERROR(($D479/50-_xlfn.XLOOKUP($E479,$O$35:$O$43,$T$35:$T$43)*F479)/$P$9,"")</f>
        <v/>
      </c>
      <c r="J479" s="25" t="str">
        <f>IFERROR(_xlfn.XLOOKUP($E479,$O$35:$O$43,$T$35:$T$43)*G479/$P$9,"")</f>
        <v/>
      </c>
      <c r="K479" s="25" t="str">
        <f>IF(E479=$O$43,($D479/50-$T$43*$P$9)/$P$9,"")</f>
        <v/>
      </c>
      <c r="L479" s="25" t="str">
        <f>IFERROR(($D479/50-_xlfn.XLOOKUP($H479,$O$48:$O$62,$T$48:$T$62)*$P$14)/$P$9,"")</f>
        <v/>
      </c>
      <c r="M479" s="14">
        <f t="shared" si="7"/>
        <v>0</v>
      </c>
    </row>
    <row r="480" spans="2:13" x14ac:dyDescent="0.25">
      <c r="B480" s="10" t="str">
        <f>IF('Importér data'!C491="type",'Importér data'!F491,"")</f>
        <v/>
      </c>
      <c r="C480" s="10">
        <f>'Importér data'!H491</f>
        <v>0</v>
      </c>
      <c r="D480" s="32" t="str">
        <f>IF('Importér data'!C491="type",'Importér data'!N491,"")</f>
        <v/>
      </c>
      <c r="E480" s="24"/>
      <c r="F480" s="45"/>
      <c r="G480" s="45"/>
      <c r="H480" s="24"/>
      <c r="I480" s="25" t="str">
        <f>IFERROR(($D480/50-_xlfn.XLOOKUP($E480,$O$35:$O$43,$T$35:$T$43)*F480)/$P$9,"")</f>
        <v/>
      </c>
      <c r="J480" s="25" t="str">
        <f>IFERROR(_xlfn.XLOOKUP($E480,$O$35:$O$43,$T$35:$T$43)*G480/$P$9,"")</f>
        <v/>
      </c>
      <c r="K480" s="25" t="str">
        <f>IF(E480=$O$43,($D480/50-$T$43*$P$9)/$P$9,"")</f>
        <v/>
      </c>
      <c r="L480" s="25" t="str">
        <f>IFERROR(($D480/50-_xlfn.XLOOKUP($H480,$O$48:$O$62,$T$48:$T$62)*$P$14)/$P$9,"")</f>
        <v/>
      </c>
      <c r="M480" s="14">
        <f t="shared" si="7"/>
        <v>0</v>
      </c>
    </row>
    <row r="481" spans="2:13" x14ac:dyDescent="0.25">
      <c r="B481" s="10" t="str">
        <f>IF('Importér data'!C492="type",'Importér data'!F492,"")</f>
        <v/>
      </c>
      <c r="C481" s="10">
        <f>'Importér data'!H492</f>
        <v>0</v>
      </c>
      <c r="D481" s="32" t="str">
        <f>IF('Importér data'!C492="type",'Importér data'!N492,"")</f>
        <v/>
      </c>
      <c r="E481" s="24"/>
      <c r="F481" s="45"/>
      <c r="G481" s="45"/>
      <c r="H481" s="24"/>
      <c r="I481" s="25" t="str">
        <f>IFERROR(($D481/50-_xlfn.XLOOKUP($E481,$O$35:$O$43,$T$35:$T$43)*F481)/$P$9,"")</f>
        <v/>
      </c>
      <c r="J481" s="25" t="str">
        <f>IFERROR(_xlfn.XLOOKUP($E481,$O$35:$O$43,$T$35:$T$43)*G481/$P$9,"")</f>
        <v/>
      </c>
      <c r="K481" s="25" t="str">
        <f>IF(E481=$O$43,($D481/50-$T$43*$P$9)/$P$9,"")</f>
        <v/>
      </c>
      <c r="L481" s="25" t="str">
        <f>IFERROR(($D481/50-_xlfn.XLOOKUP($H481,$O$48:$O$62,$T$48:$T$62)*$P$14)/$P$9,"")</f>
        <v/>
      </c>
      <c r="M481" s="14">
        <f t="shared" si="7"/>
        <v>0</v>
      </c>
    </row>
    <row r="482" spans="2:13" x14ac:dyDescent="0.25">
      <c r="B482" s="10" t="str">
        <f>IF('Importér data'!C493="type",'Importér data'!F493,"")</f>
        <v/>
      </c>
      <c r="C482" s="10">
        <f>'Importér data'!H493</f>
        <v>0</v>
      </c>
      <c r="D482" s="32" t="str">
        <f>IF('Importér data'!C493="type",'Importér data'!N493,"")</f>
        <v/>
      </c>
      <c r="E482" s="24"/>
      <c r="F482" s="45"/>
      <c r="G482" s="45"/>
      <c r="H482" s="24"/>
      <c r="I482" s="25" t="str">
        <f>IFERROR(($D482/50-_xlfn.XLOOKUP($E482,$O$35:$O$43,$T$35:$T$43)*F482)/$P$9,"")</f>
        <v/>
      </c>
      <c r="J482" s="25" t="str">
        <f>IFERROR(_xlfn.XLOOKUP($E482,$O$35:$O$43,$T$35:$T$43)*G482/$P$9,"")</f>
        <v/>
      </c>
      <c r="K482" s="25" t="str">
        <f>IF(E482=$O$43,($D482/50-$T$43*$P$9)/$P$9,"")</f>
        <v/>
      </c>
      <c r="L482" s="25" t="str">
        <f>IFERROR(($D482/50-_xlfn.XLOOKUP($H482,$O$48:$O$62,$T$48:$T$62)*$P$14)/$P$9,"")</f>
        <v/>
      </c>
      <c r="M482" s="14">
        <f t="shared" si="7"/>
        <v>0</v>
      </c>
    </row>
    <row r="483" spans="2:13" x14ac:dyDescent="0.25">
      <c r="B483" s="10" t="str">
        <f>IF('Importér data'!C494="type",'Importér data'!F494,"")</f>
        <v/>
      </c>
      <c r="C483" s="10">
        <f>'Importér data'!H494</f>
        <v>0</v>
      </c>
      <c r="D483" s="32" t="str">
        <f>IF('Importér data'!C494="type",'Importér data'!N494,"")</f>
        <v/>
      </c>
      <c r="E483" s="24"/>
      <c r="F483" s="45"/>
      <c r="G483" s="45"/>
      <c r="H483" s="24"/>
      <c r="I483" s="25" t="str">
        <f>IFERROR(($D483/50-_xlfn.XLOOKUP($E483,$O$35:$O$43,$T$35:$T$43)*F483)/$P$9,"")</f>
        <v/>
      </c>
      <c r="J483" s="25" t="str">
        <f>IFERROR(_xlfn.XLOOKUP($E483,$O$35:$O$43,$T$35:$T$43)*G483/$P$9,"")</f>
        <v/>
      </c>
      <c r="K483" s="25" t="str">
        <f>IF(E483=$O$43,($D483/50-$T$43*$P$9)/$P$9,"")</f>
        <v/>
      </c>
      <c r="L483" s="25" t="str">
        <f>IFERROR(($D483/50-_xlfn.XLOOKUP($H483,$O$48:$O$62,$T$48:$T$62)*$P$14)/$P$9,"")</f>
        <v/>
      </c>
      <c r="M483" s="14">
        <f t="shared" si="7"/>
        <v>0</v>
      </c>
    </row>
    <row r="484" spans="2:13" x14ac:dyDescent="0.25">
      <c r="B484" s="10" t="str">
        <f>IF('Importér data'!C495="type",'Importér data'!F495,"")</f>
        <v/>
      </c>
      <c r="C484" s="10">
        <f>'Importér data'!H495</f>
        <v>0</v>
      </c>
      <c r="D484" s="32" t="str">
        <f>IF('Importér data'!C495="type",'Importér data'!N495,"")</f>
        <v/>
      </c>
      <c r="E484" s="24"/>
      <c r="F484" s="45"/>
      <c r="G484" s="45"/>
      <c r="H484" s="24"/>
      <c r="I484" s="25" t="str">
        <f>IFERROR(($D484/50-_xlfn.XLOOKUP($E484,$O$35:$O$43,$T$35:$T$43)*F484)/$P$9,"")</f>
        <v/>
      </c>
      <c r="J484" s="25" t="str">
        <f>IFERROR(_xlfn.XLOOKUP($E484,$O$35:$O$43,$T$35:$T$43)*G484/$P$9,"")</f>
        <v/>
      </c>
      <c r="K484" s="25" t="str">
        <f>IF(E484=$O$43,($D484/50-$T$43*$P$9)/$P$9,"")</f>
        <v/>
      </c>
      <c r="L484" s="25" t="str">
        <f>IFERROR(($D484/50-_xlfn.XLOOKUP($H484,$O$48:$O$62,$T$48:$T$62)*$P$14)/$P$9,"")</f>
        <v/>
      </c>
      <c r="M484" s="14">
        <f t="shared" si="7"/>
        <v>0</v>
      </c>
    </row>
    <row r="485" spans="2:13" x14ac:dyDescent="0.25">
      <c r="B485" s="10" t="str">
        <f>IF('Importér data'!C496="type",'Importér data'!F496,"")</f>
        <v/>
      </c>
      <c r="C485" s="10">
        <f>'Importér data'!H496</f>
        <v>0</v>
      </c>
      <c r="D485" s="32" t="str">
        <f>IF('Importér data'!C496="type",'Importér data'!N496,"")</f>
        <v/>
      </c>
      <c r="E485" s="24"/>
      <c r="F485" s="45"/>
      <c r="G485" s="45"/>
      <c r="H485" s="24"/>
      <c r="I485" s="25" t="str">
        <f>IFERROR(($D485/50-_xlfn.XLOOKUP($E485,$O$35:$O$43,$T$35:$T$43)*F485)/$P$9,"")</f>
        <v/>
      </c>
      <c r="J485" s="25" t="str">
        <f>IFERROR(_xlfn.XLOOKUP($E485,$O$35:$O$43,$T$35:$T$43)*G485/$P$9,"")</f>
        <v/>
      </c>
      <c r="K485" s="25" t="str">
        <f>IF(E485=$O$43,($D485/50-$T$43*$P$9)/$P$9,"")</f>
        <v/>
      </c>
      <c r="L485" s="25" t="str">
        <f>IFERROR(($D485/50-_xlfn.XLOOKUP($H485,$O$48:$O$62,$T$48:$T$62)*$P$14)/$P$9,"")</f>
        <v/>
      </c>
      <c r="M485" s="14">
        <f t="shared" si="7"/>
        <v>0</v>
      </c>
    </row>
    <row r="486" spans="2:13" x14ac:dyDescent="0.25">
      <c r="B486" s="10" t="str">
        <f>IF('Importér data'!C497="type",'Importér data'!F497,"")</f>
        <v/>
      </c>
      <c r="C486" s="10">
        <f>'Importér data'!H497</f>
        <v>0</v>
      </c>
      <c r="D486" s="32" t="str">
        <f>IF('Importér data'!C497="type",'Importér data'!N497,"")</f>
        <v/>
      </c>
      <c r="E486" s="24"/>
      <c r="F486" s="45"/>
      <c r="G486" s="45"/>
      <c r="H486" s="24"/>
      <c r="I486" s="25" t="str">
        <f>IFERROR(($D486/50-_xlfn.XLOOKUP($E486,$O$35:$O$43,$T$35:$T$43)*F486)/$P$9,"")</f>
        <v/>
      </c>
      <c r="J486" s="25" t="str">
        <f>IFERROR(_xlfn.XLOOKUP($E486,$O$35:$O$43,$T$35:$T$43)*G486/$P$9,"")</f>
        <v/>
      </c>
      <c r="K486" s="25" t="str">
        <f>IF(E486=$O$43,($D486/50-$T$43*$P$9)/$P$9,"")</f>
        <v/>
      </c>
      <c r="L486" s="25" t="str">
        <f>IFERROR(($D486/50-_xlfn.XLOOKUP($H486,$O$48:$O$62,$T$48:$T$62)*$P$14)/$P$9,"")</f>
        <v/>
      </c>
      <c r="M486" s="14">
        <f t="shared" si="7"/>
        <v>0</v>
      </c>
    </row>
    <row r="487" spans="2:13" x14ac:dyDescent="0.25">
      <c r="B487" s="10" t="str">
        <f>IF('Importér data'!C498="type",'Importér data'!F498,"")</f>
        <v/>
      </c>
      <c r="C487" s="10">
        <f>'Importér data'!H498</f>
        <v>0</v>
      </c>
      <c r="D487" s="32" t="str">
        <f>IF('Importér data'!C498="type",'Importér data'!N498,"")</f>
        <v/>
      </c>
      <c r="E487" s="24"/>
      <c r="F487" s="45"/>
      <c r="G487" s="45"/>
      <c r="H487" s="24"/>
      <c r="I487" s="25" t="str">
        <f>IFERROR(($D487/50-_xlfn.XLOOKUP($E487,$O$35:$O$43,$T$35:$T$43)*F487)/$P$9,"")</f>
        <v/>
      </c>
      <c r="J487" s="25" t="str">
        <f>IFERROR(_xlfn.XLOOKUP($E487,$O$35:$O$43,$T$35:$T$43)*G487/$P$9,"")</f>
        <v/>
      </c>
      <c r="K487" s="25" t="str">
        <f>IF(E487=$O$43,($D487/50-$T$43*$P$9)/$P$9,"")</f>
        <v/>
      </c>
      <c r="L487" s="25" t="str">
        <f>IFERROR(($D487/50-_xlfn.XLOOKUP($H487,$O$48:$O$62,$T$48:$T$62)*$P$14)/$P$9,"")</f>
        <v/>
      </c>
      <c r="M487" s="14">
        <f t="shared" si="7"/>
        <v>0</v>
      </c>
    </row>
    <row r="488" spans="2:13" x14ac:dyDescent="0.25">
      <c r="B488" s="10" t="str">
        <f>IF('Importér data'!C499="type",'Importér data'!F499,"")</f>
        <v/>
      </c>
      <c r="C488" s="10">
        <f>'Importér data'!H499</f>
        <v>0</v>
      </c>
      <c r="D488" s="32" t="str">
        <f>IF('Importér data'!C499="type",'Importér data'!N499,"")</f>
        <v/>
      </c>
      <c r="E488" s="24"/>
      <c r="F488" s="45"/>
      <c r="G488" s="45"/>
      <c r="H488" s="24"/>
      <c r="I488" s="25" t="str">
        <f>IFERROR(($D488/50-_xlfn.XLOOKUP($E488,$O$35:$O$43,$T$35:$T$43)*F488)/$P$9,"")</f>
        <v/>
      </c>
      <c r="J488" s="25" t="str">
        <f>IFERROR(_xlfn.XLOOKUP($E488,$O$35:$O$43,$T$35:$T$43)*G488/$P$9,"")</f>
        <v/>
      </c>
      <c r="K488" s="25" t="str">
        <f>IF(E488=$O$43,($D488/50-$T$43*$P$9)/$P$9,"")</f>
        <v/>
      </c>
      <c r="L488" s="25" t="str">
        <f>IFERROR(($D488/50-_xlfn.XLOOKUP($H488,$O$48:$O$62,$T$48:$T$62)*$P$14)/$P$9,"")</f>
        <v/>
      </c>
      <c r="M488" s="14">
        <f t="shared" si="7"/>
        <v>0</v>
      </c>
    </row>
    <row r="489" spans="2:13" x14ac:dyDescent="0.25">
      <c r="B489" s="10" t="str">
        <f>IF('Importér data'!C500="type",'Importér data'!F500,"")</f>
        <v/>
      </c>
      <c r="C489" s="10">
        <f>'Importér data'!H500</f>
        <v>0</v>
      </c>
      <c r="D489" s="32" t="str">
        <f>IF('Importér data'!C500="type",'Importér data'!N500,"")</f>
        <v/>
      </c>
      <c r="E489" s="24"/>
      <c r="F489" s="45"/>
      <c r="G489" s="45"/>
      <c r="H489" s="24"/>
      <c r="I489" s="25" t="str">
        <f>IFERROR(($D489/50-_xlfn.XLOOKUP($E489,$O$35:$O$43,$T$35:$T$43)*F489)/$P$9,"")</f>
        <v/>
      </c>
      <c r="J489" s="25" t="str">
        <f>IFERROR(_xlfn.XLOOKUP($E489,$O$35:$O$43,$T$35:$T$43)*G489/$P$9,"")</f>
        <v/>
      </c>
      <c r="K489" s="25" t="str">
        <f>IF(E489=$O$43,($D489/50-$T$43*$P$9)/$P$9,"")</f>
        <v/>
      </c>
      <c r="L489" s="25" t="str">
        <f>IFERROR(($D489/50-_xlfn.XLOOKUP($H489,$O$48:$O$62,$T$48:$T$62)*$P$14)/$P$9,"")</f>
        <v/>
      </c>
      <c r="M489" s="14">
        <f t="shared" si="7"/>
        <v>0</v>
      </c>
    </row>
    <row r="490" spans="2:13" x14ac:dyDescent="0.25">
      <c r="B490" s="10" t="str">
        <f>IF('Importér data'!C501="type",'Importér data'!F501,"")</f>
        <v/>
      </c>
      <c r="C490" s="10">
        <f>'Importér data'!H501</f>
        <v>0</v>
      </c>
      <c r="D490" s="32" t="str">
        <f>IF('Importér data'!C501="type",'Importér data'!N501,"")</f>
        <v/>
      </c>
      <c r="E490" s="24"/>
      <c r="F490" s="45"/>
      <c r="G490" s="45"/>
      <c r="H490" s="24"/>
      <c r="I490" s="25" t="str">
        <f>IFERROR(($D490/50-_xlfn.XLOOKUP($E490,$O$35:$O$43,$T$35:$T$43)*F490)/$P$9,"")</f>
        <v/>
      </c>
      <c r="J490" s="25" t="str">
        <f>IFERROR(_xlfn.XLOOKUP($E490,$O$35:$O$43,$T$35:$T$43)*G490/$P$9,"")</f>
        <v/>
      </c>
      <c r="K490" s="25" t="str">
        <f>IF(E490=$O$43,($D490/50-$T$43*$P$9)/$P$9,"")</f>
        <v/>
      </c>
      <c r="L490" s="25" t="str">
        <f>IFERROR(($D490/50-_xlfn.XLOOKUP($H490,$O$48:$O$62,$T$48:$T$62)*$P$14)/$P$9,"")</f>
        <v/>
      </c>
      <c r="M490" s="14">
        <f t="shared" si="7"/>
        <v>0</v>
      </c>
    </row>
    <row r="491" spans="2:13" x14ac:dyDescent="0.25">
      <c r="B491" s="10" t="str">
        <f>IF('Importér data'!C502="type",'Importér data'!F502,"")</f>
        <v/>
      </c>
      <c r="C491" s="10">
        <f>'Importér data'!H502</f>
        <v>0</v>
      </c>
      <c r="D491" s="32" t="str">
        <f>IF('Importér data'!C502="type",'Importér data'!N502,"")</f>
        <v/>
      </c>
      <c r="E491" s="24"/>
      <c r="F491" s="45"/>
      <c r="G491" s="45"/>
      <c r="H491" s="24"/>
      <c r="I491" s="25" t="str">
        <f>IFERROR(($D491/50-_xlfn.XLOOKUP($E491,$O$35:$O$43,$T$35:$T$43)*F491)/$P$9,"")</f>
        <v/>
      </c>
      <c r="J491" s="25" t="str">
        <f>IFERROR(_xlfn.XLOOKUP($E491,$O$35:$O$43,$T$35:$T$43)*G491/$P$9,"")</f>
        <v/>
      </c>
      <c r="K491" s="25" t="str">
        <f>IF(E491=$O$43,($D491/50-$T$43*$P$9)/$P$9,"")</f>
        <v/>
      </c>
      <c r="L491" s="25" t="str">
        <f>IFERROR(($D491/50-_xlfn.XLOOKUP($H491,$O$48:$O$62,$T$48:$T$62)*$P$14)/$P$9,"")</f>
        <v/>
      </c>
      <c r="M491" s="14">
        <f t="shared" si="7"/>
        <v>0</v>
      </c>
    </row>
    <row r="492" spans="2:13" x14ac:dyDescent="0.25">
      <c r="B492" s="10" t="str">
        <f>IF('Importér data'!C503="type",'Importér data'!F503,"")</f>
        <v/>
      </c>
      <c r="C492" s="10">
        <f>'Importér data'!H503</f>
        <v>0</v>
      </c>
      <c r="D492" s="32" t="str">
        <f>IF('Importér data'!C503="type",'Importér data'!N503,"")</f>
        <v/>
      </c>
      <c r="E492" s="24"/>
      <c r="F492" s="45"/>
      <c r="G492" s="45"/>
      <c r="H492" s="24"/>
      <c r="I492" s="25" t="str">
        <f>IFERROR(($D492/50-_xlfn.XLOOKUP($E492,$O$35:$O$43,$T$35:$T$43)*F492)/$P$9,"")</f>
        <v/>
      </c>
      <c r="J492" s="25" t="str">
        <f>IFERROR(_xlfn.XLOOKUP($E492,$O$35:$O$43,$T$35:$T$43)*G492/$P$9,"")</f>
        <v/>
      </c>
      <c r="K492" s="25" t="str">
        <f>IF(E492=$O$43,($D492/50-$T$43*$P$9)/$P$9,"")</f>
        <v/>
      </c>
      <c r="L492" s="25" t="str">
        <f>IFERROR(($D492/50-_xlfn.XLOOKUP($H492,$O$48:$O$62,$T$48:$T$62)*$P$14)/$P$9,"")</f>
        <v/>
      </c>
      <c r="M492" s="14">
        <f t="shared" si="7"/>
        <v>0</v>
      </c>
    </row>
    <row r="493" spans="2:13" x14ac:dyDescent="0.25">
      <c r="B493" s="10" t="str">
        <f>IF('Importér data'!C504="type",'Importér data'!F504,"")</f>
        <v/>
      </c>
      <c r="C493" s="10">
        <f>'Importér data'!H504</f>
        <v>0</v>
      </c>
      <c r="D493" s="32" t="str">
        <f>IF('Importér data'!C504="type",'Importér data'!N504,"")</f>
        <v/>
      </c>
      <c r="E493" s="24"/>
      <c r="F493" s="45"/>
      <c r="G493" s="45"/>
      <c r="H493" s="24"/>
      <c r="I493" s="25" t="str">
        <f>IFERROR(($D493/50-_xlfn.XLOOKUP($E493,$O$35:$O$43,$T$35:$T$43)*F493)/$P$9,"")</f>
        <v/>
      </c>
      <c r="J493" s="25" t="str">
        <f>IFERROR(_xlfn.XLOOKUP($E493,$O$35:$O$43,$T$35:$T$43)*G493/$P$9,"")</f>
        <v/>
      </c>
      <c r="K493" s="25" t="str">
        <f>IF(E493=$O$43,($D493/50-$T$43*$P$9)/$P$9,"")</f>
        <v/>
      </c>
      <c r="L493" s="25" t="str">
        <f>IFERROR(($D493/50-_xlfn.XLOOKUP($H493,$O$48:$O$62,$T$48:$T$62)*$P$14)/$P$9,"")</f>
        <v/>
      </c>
      <c r="M493" s="14">
        <f t="shared" si="7"/>
        <v>0</v>
      </c>
    </row>
    <row r="494" spans="2:13" x14ac:dyDescent="0.25">
      <c r="B494" s="10" t="str">
        <f>IF('Importér data'!C505="type",'Importér data'!F505,"")</f>
        <v/>
      </c>
      <c r="C494" s="10">
        <f>'Importér data'!H505</f>
        <v>0</v>
      </c>
      <c r="D494" s="32" t="str">
        <f>IF('Importér data'!C505="type",'Importér data'!N505,"")</f>
        <v/>
      </c>
      <c r="E494" s="24"/>
      <c r="F494" s="45"/>
      <c r="G494" s="45"/>
      <c r="H494" s="24"/>
      <c r="I494" s="25" t="str">
        <f>IFERROR(($D494/50-_xlfn.XLOOKUP($E494,$O$35:$O$43,$T$35:$T$43)*F494)/$P$9,"")</f>
        <v/>
      </c>
      <c r="J494" s="25" t="str">
        <f>IFERROR(_xlfn.XLOOKUP($E494,$O$35:$O$43,$T$35:$T$43)*G494/$P$9,"")</f>
        <v/>
      </c>
      <c r="K494" s="25" t="str">
        <f>IF(E494=$O$43,($D494/50-$T$43*$P$9)/$P$9,"")</f>
        <v/>
      </c>
      <c r="L494" s="25" t="str">
        <f>IFERROR(($D494/50-_xlfn.XLOOKUP($H494,$O$48:$O$62,$T$48:$T$62)*$P$14)/$P$9,"")</f>
        <v/>
      </c>
      <c r="M494" s="14">
        <f t="shared" si="7"/>
        <v>0</v>
      </c>
    </row>
    <row r="495" spans="2:13" x14ac:dyDescent="0.25">
      <c r="B495" s="10" t="str">
        <f>IF('Importér data'!C506="type",'Importér data'!F506,"")</f>
        <v/>
      </c>
      <c r="C495" s="10">
        <f>'Importér data'!H506</f>
        <v>0</v>
      </c>
      <c r="D495" s="32" t="str">
        <f>IF('Importér data'!C506="type",'Importér data'!N506,"")</f>
        <v/>
      </c>
      <c r="E495" s="24"/>
      <c r="F495" s="45"/>
      <c r="G495" s="45"/>
      <c r="H495" s="24"/>
      <c r="I495" s="25" t="str">
        <f>IFERROR(($D495/50-_xlfn.XLOOKUP($E495,$O$35:$O$43,$T$35:$T$43)*F495)/$P$9,"")</f>
        <v/>
      </c>
      <c r="J495" s="25" t="str">
        <f>IFERROR(_xlfn.XLOOKUP($E495,$O$35:$O$43,$T$35:$T$43)*G495/$P$9,"")</f>
        <v/>
      </c>
      <c r="K495" s="25" t="str">
        <f>IF(E495=$O$43,($D495/50-$T$43*$P$9)/$P$9,"")</f>
        <v/>
      </c>
      <c r="L495" s="25" t="str">
        <f>IFERROR(($D495/50-_xlfn.XLOOKUP($H495,$O$48:$O$62,$T$48:$T$62)*$P$14)/$P$9,"")</f>
        <v/>
      </c>
      <c r="M495" s="14">
        <f t="shared" si="7"/>
        <v>0</v>
      </c>
    </row>
    <row r="496" spans="2:13" x14ac:dyDescent="0.25">
      <c r="B496" s="10" t="str">
        <f>IF('Importér data'!C507="type",'Importér data'!F507,"")</f>
        <v/>
      </c>
      <c r="C496" s="10">
        <f>'Importér data'!H507</f>
        <v>0</v>
      </c>
      <c r="D496" s="32" t="str">
        <f>IF('Importér data'!C507="type",'Importér data'!N507,"")</f>
        <v/>
      </c>
      <c r="E496" s="24"/>
      <c r="F496" s="45"/>
      <c r="G496" s="45"/>
      <c r="H496" s="24"/>
      <c r="I496" s="25" t="str">
        <f>IFERROR(($D496/50-_xlfn.XLOOKUP($E496,$O$35:$O$43,$T$35:$T$43)*F496)/$P$9,"")</f>
        <v/>
      </c>
      <c r="J496" s="25" t="str">
        <f>IFERROR(_xlfn.XLOOKUP($E496,$O$35:$O$43,$T$35:$T$43)*G496/$P$9,"")</f>
        <v/>
      </c>
      <c r="K496" s="25" t="str">
        <f>IF(E496=$O$43,($D496/50-$T$43*$P$9)/$P$9,"")</f>
        <v/>
      </c>
      <c r="L496" s="25" t="str">
        <f>IFERROR(($D496/50-_xlfn.XLOOKUP($H496,$O$48:$O$62,$T$48:$T$62)*$P$14)/$P$9,"")</f>
        <v/>
      </c>
      <c r="M496" s="14">
        <f t="shared" si="7"/>
        <v>0</v>
      </c>
    </row>
    <row r="497" spans="2:13" x14ac:dyDescent="0.25">
      <c r="B497" s="10" t="str">
        <f>IF('Importér data'!C508="type",'Importér data'!F508,"")</f>
        <v/>
      </c>
      <c r="C497" s="10">
        <f>'Importér data'!H508</f>
        <v>0</v>
      </c>
      <c r="D497" s="32" t="str">
        <f>IF('Importér data'!C508="type",'Importér data'!N508,"")</f>
        <v/>
      </c>
      <c r="E497" s="24"/>
      <c r="F497" s="45"/>
      <c r="G497" s="45"/>
      <c r="H497" s="24"/>
      <c r="I497" s="25" t="str">
        <f>IFERROR(($D497/50-_xlfn.XLOOKUP($E497,$O$35:$O$43,$T$35:$T$43)*F497)/$P$9,"")</f>
        <v/>
      </c>
      <c r="J497" s="25" t="str">
        <f>IFERROR(_xlfn.XLOOKUP($E497,$O$35:$O$43,$T$35:$T$43)*G497/$P$9,"")</f>
        <v/>
      </c>
      <c r="K497" s="25" t="str">
        <f>IF(E497=$O$43,($D497/50-$T$43*$P$9)/$P$9,"")</f>
        <v/>
      </c>
      <c r="L497" s="25" t="str">
        <f>IFERROR(($D497/50-_xlfn.XLOOKUP($H497,$O$48:$O$62,$T$48:$T$62)*$P$14)/$P$9,"")</f>
        <v/>
      </c>
      <c r="M497" s="14">
        <f t="shared" si="7"/>
        <v>0</v>
      </c>
    </row>
    <row r="498" spans="2:13" x14ac:dyDescent="0.25">
      <c r="B498" s="10" t="str">
        <f>IF('Importér data'!C509="type",'Importér data'!F509,"")</f>
        <v/>
      </c>
      <c r="C498" s="10">
        <f>'Importér data'!H509</f>
        <v>0</v>
      </c>
      <c r="D498" s="32" t="str">
        <f>IF('Importér data'!C509="type",'Importér data'!N509,"")</f>
        <v/>
      </c>
      <c r="E498" s="24"/>
      <c r="F498" s="45"/>
      <c r="G498" s="45"/>
      <c r="H498" s="24"/>
      <c r="I498" s="25" t="str">
        <f>IFERROR(($D498/50-_xlfn.XLOOKUP($E498,$O$35:$O$43,$T$35:$T$43)*F498)/$P$9,"")</f>
        <v/>
      </c>
      <c r="J498" s="25" t="str">
        <f>IFERROR(_xlfn.XLOOKUP($E498,$O$35:$O$43,$T$35:$T$43)*G498/$P$9,"")</f>
        <v/>
      </c>
      <c r="K498" s="25" t="str">
        <f>IF(E498=$O$43,($D498/50-$T$43*$P$9)/$P$9,"")</f>
        <v/>
      </c>
      <c r="L498" s="25" t="str">
        <f>IFERROR(($D498/50-_xlfn.XLOOKUP($H498,$O$48:$O$62,$T$48:$T$62)*$P$14)/$P$9,"")</f>
        <v/>
      </c>
      <c r="M498" s="14">
        <f t="shared" si="7"/>
        <v>0</v>
      </c>
    </row>
    <row r="499" spans="2:13" x14ac:dyDescent="0.25">
      <c r="B499" s="10" t="str">
        <f>IF('Importér data'!C510="type",'Importér data'!F510,"")</f>
        <v/>
      </c>
      <c r="C499" s="10">
        <f>'Importér data'!H510</f>
        <v>0</v>
      </c>
      <c r="D499" s="32" t="str">
        <f>IF('Importér data'!C510="type",'Importér data'!N510,"")</f>
        <v/>
      </c>
      <c r="E499" s="24"/>
      <c r="F499" s="45"/>
      <c r="G499" s="45"/>
      <c r="H499" s="24"/>
      <c r="I499" s="25" t="str">
        <f>IFERROR(($D499/50-_xlfn.XLOOKUP($E499,$O$35:$O$43,$T$35:$T$43)*F499)/$P$9,"")</f>
        <v/>
      </c>
      <c r="J499" s="25" t="str">
        <f>IFERROR(_xlfn.XLOOKUP($E499,$O$35:$O$43,$T$35:$T$43)*G499/$P$9,"")</f>
        <v/>
      </c>
      <c r="K499" s="25" t="str">
        <f>IF(E499=$O$43,($D499/50-$T$43*$P$9)/$P$9,"")</f>
        <v/>
      </c>
      <c r="L499" s="25" t="str">
        <f>IFERROR(($D499/50-_xlfn.XLOOKUP($H499,$O$48:$O$62,$T$48:$T$62)*$P$14)/$P$9,"")</f>
        <v/>
      </c>
      <c r="M499" s="14">
        <f t="shared" si="7"/>
        <v>0</v>
      </c>
    </row>
    <row r="500" spans="2:13" x14ac:dyDescent="0.25">
      <c r="B500" s="10" t="str">
        <f>IF('Importér data'!C511="type",'Importér data'!F511,"")</f>
        <v/>
      </c>
      <c r="C500" s="10">
        <f>'Importér data'!H511</f>
        <v>0</v>
      </c>
      <c r="D500" s="32" t="str">
        <f>IF('Importér data'!C511="type",'Importér data'!N511,"")</f>
        <v/>
      </c>
      <c r="E500" s="24"/>
      <c r="F500" s="45"/>
      <c r="G500" s="45"/>
      <c r="H500" s="24"/>
      <c r="I500" s="25" t="str">
        <f>IFERROR(($D500/50-_xlfn.XLOOKUP($E500,$O$35:$O$43,$T$35:$T$43)*F500)/$P$9,"")</f>
        <v/>
      </c>
      <c r="J500" s="25" t="str">
        <f>IFERROR(_xlfn.XLOOKUP($E500,$O$35:$O$43,$T$35:$T$43)*G500/$P$9,"")</f>
        <v/>
      </c>
      <c r="K500" s="25" t="str">
        <f>IF(E500=$O$43,($D500/50-$T$43*$P$9)/$P$9,"")</f>
        <v/>
      </c>
      <c r="L500" s="25" t="str">
        <f>IFERROR(($D500/50-_xlfn.XLOOKUP($H500,$O$48:$O$62,$T$48:$T$62)*$P$14)/$P$9,"")</f>
        <v/>
      </c>
      <c r="M500" s="14">
        <f t="shared" si="7"/>
        <v>0</v>
      </c>
    </row>
    <row r="501" spans="2:13" x14ac:dyDescent="0.25">
      <c r="B501" s="10" t="str">
        <f>IF('Importér data'!C512="type",'Importér data'!F512,"")</f>
        <v/>
      </c>
      <c r="C501" s="10">
        <f>'Importér data'!H512</f>
        <v>0</v>
      </c>
      <c r="D501" s="32" t="str">
        <f>IF('Importér data'!C512="type",'Importér data'!N512,"")</f>
        <v/>
      </c>
      <c r="E501" s="24"/>
      <c r="F501" s="45"/>
      <c r="G501" s="45"/>
      <c r="H501" s="24"/>
      <c r="I501" s="25" t="str">
        <f>IFERROR(($D501/50-_xlfn.XLOOKUP($E501,$O$35:$O$43,$T$35:$T$43)*F501)/$P$9,"")</f>
        <v/>
      </c>
      <c r="J501" s="25" t="str">
        <f>IFERROR(_xlfn.XLOOKUP($E501,$O$35:$O$43,$T$35:$T$43)*G501/$P$9,"")</f>
        <v/>
      </c>
      <c r="K501" s="25" t="str">
        <f>IF(E501=$O$43,($D501/50-$T$43*$P$9)/$P$9,"")</f>
        <v/>
      </c>
      <c r="L501" s="25" t="str">
        <f>IFERROR(($D501/50-_xlfn.XLOOKUP($H501,$O$48:$O$62,$T$48:$T$62)*$P$14)/$P$9,"")</f>
        <v/>
      </c>
      <c r="M501" s="14">
        <f t="shared" si="7"/>
        <v>0</v>
      </c>
    </row>
    <row r="502" spans="2:13" x14ac:dyDescent="0.25">
      <c r="B502" s="10" t="str">
        <f>IF('Importér data'!C513="type",'Importér data'!F513,"")</f>
        <v/>
      </c>
      <c r="C502" s="10">
        <f>'Importér data'!H513</f>
        <v>0</v>
      </c>
      <c r="D502" s="32" t="str">
        <f>IF('Importér data'!C513="type",'Importér data'!N513,"")</f>
        <v/>
      </c>
      <c r="E502" s="24"/>
      <c r="F502" s="45"/>
      <c r="G502" s="45"/>
      <c r="H502" s="24"/>
      <c r="I502" s="25" t="str">
        <f>IFERROR(($D502/50-_xlfn.XLOOKUP($E502,$O$35:$O$43,$T$35:$T$43)*F502)/$P$9,"")</f>
        <v/>
      </c>
      <c r="J502" s="25" t="str">
        <f>IFERROR(_xlfn.XLOOKUP($E502,$O$35:$O$43,$T$35:$T$43)*G502/$P$9,"")</f>
        <v/>
      </c>
      <c r="K502" s="25" t="str">
        <f>IF(E502=$O$43,($D502/50-$T$43*$P$9)/$P$9,"")</f>
        <v/>
      </c>
      <c r="L502" s="25" t="str">
        <f>IFERROR(($D502/50-_xlfn.XLOOKUP($H502,$O$48:$O$62,$T$48:$T$62)*$P$14)/$P$9,"")</f>
        <v/>
      </c>
      <c r="M502" s="14">
        <f t="shared" si="7"/>
        <v>0</v>
      </c>
    </row>
    <row r="503" spans="2:13" x14ac:dyDescent="0.25">
      <c r="B503" s="10" t="str">
        <f>IF('Importér data'!C514="type",'Importér data'!F514,"")</f>
        <v/>
      </c>
      <c r="C503" s="10">
        <f>'Importér data'!H514</f>
        <v>0</v>
      </c>
      <c r="D503" s="32" t="str">
        <f>IF('Importér data'!C514="type",'Importér data'!N514,"")</f>
        <v/>
      </c>
      <c r="E503" s="24"/>
      <c r="F503" s="45"/>
      <c r="G503" s="45"/>
      <c r="H503" s="24"/>
      <c r="I503" s="25" t="str">
        <f>IFERROR(($D503/50-_xlfn.XLOOKUP($E503,$O$35:$O$43,$T$35:$T$43)*F503)/$P$9,"")</f>
        <v/>
      </c>
      <c r="J503" s="25" t="str">
        <f>IFERROR(_xlfn.XLOOKUP($E503,$O$35:$O$43,$T$35:$T$43)*G503/$P$9,"")</f>
        <v/>
      </c>
      <c r="K503" s="25" t="str">
        <f>IF(E503=$O$43,($D503/50-$T$43*$P$9)/$P$9,"")</f>
        <v/>
      </c>
      <c r="L503" s="25" t="str">
        <f>IFERROR(($D503/50-_xlfn.XLOOKUP($H503,$O$48:$O$62,$T$48:$T$62)*$P$14)/$P$9,"")</f>
        <v/>
      </c>
      <c r="M503" s="14">
        <f t="shared" si="7"/>
        <v>0</v>
      </c>
    </row>
    <row r="504" spans="2:13" x14ac:dyDescent="0.25">
      <c r="B504" s="10" t="str">
        <f>IF('Importér data'!C515="type",'Importér data'!F515,"")</f>
        <v/>
      </c>
      <c r="C504" s="10">
        <f>'Importér data'!H515</f>
        <v>0</v>
      </c>
      <c r="D504" s="32" t="str">
        <f>IF('Importér data'!C515="type",'Importér data'!N515,"")</f>
        <v/>
      </c>
      <c r="E504" s="24"/>
      <c r="F504" s="45"/>
      <c r="G504" s="45"/>
      <c r="H504" s="24"/>
      <c r="I504" s="25" t="str">
        <f>IFERROR(($D504/50-_xlfn.XLOOKUP($E504,$O$35:$O$43,$T$35:$T$43)*F504)/$P$9,"")</f>
        <v/>
      </c>
      <c r="J504" s="25" t="str">
        <f>IFERROR(_xlfn.XLOOKUP($E504,$O$35:$O$43,$T$35:$T$43)*G504/$P$9,"")</f>
        <v/>
      </c>
      <c r="K504" s="25" t="str">
        <f>IF(E504=$O$43,($D504/50-$T$43*$P$9)/$P$9,"")</f>
        <v/>
      </c>
      <c r="L504" s="25" t="str">
        <f>IFERROR(($D504/50-_xlfn.XLOOKUP($H504,$O$48:$O$62,$T$48:$T$62)*$P$14)/$P$9,"")</f>
        <v/>
      </c>
      <c r="M504" s="14">
        <f t="shared" si="7"/>
        <v>0</v>
      </c>
    </row>
    <row r="505" spans="2:13" x14ac:dyDescent="0.25">
      <c r="B505" s="10" t="str">
        <f>IF('Importér data'!C516="type",'Importér data'!F516,"")</f>
        <v/>
      </c>
      <c r="C505" s="10">
        <f>'Importér data'!H516</f>
        <v>0</v>
      </c>
      <c r="D505" s="32" t="str">
        <f>IF('Importér data'!C516="type",'Importér data'!N516,"")</f>
        <v/>
      </c>
      <c r="E505" s="24"/>
      <c r="F505" s="45"/>
      <c r="G505" s="45"/>
      <c r="H505" s="24"/>
      <c r="I505" s="25" t="str">
        <f>IFERROR(($D505/50-_xlfn.XLOOKUP($E505,$O$35:$O$43,$T$35:$T$43)*F505)/$P$9,"")</f>
        <v/>
      </c>
      <c r="J505" s="25" t="str">
        <f>IFERROR(_xlfn.XLOOKUP($E505,$O$35:$O$43,$T$35:$T$43)*G505/$P$9,"")</f>
        <v/>
      </c>
      <c r="K505" s="25" t="str">
        <f>IF(E505=$O$43,($D505/50-$T$43*$P$9)/$P$9,"")</f>
        <v/>
      </c>
      <c r="L505" s="25" t="str">
        <f>IFERROR(($D505/50-_xlfn.XLOOKUP($H505,$O$48:$O$62,$T$48:$T$62)*$P$14)/$P$9,"")</f>
        <v/>
      </c>
      <c r="M505" s="14">
        <f t="shared" si="7"/>
        <v>0</v>
      </c>
    </row>
    <row r="506" spans="2:13" x14ac:dyDescent="0.25">
      <c r="B506" s="10" t="str">
        <f>IF('Importér data'!C517="type",'Importér data'!F517,"")</f>
        <v/>
      </c>
      <c r="C506" s="10">
        <f>'Importér data'!H517</f>
        <v>0</v>
      </c>
      <c r="D506" s="32" t="str">
        <f>IF('Importér data'!C517="type",'Importér data'!N517,"")</f>
        <v/>
      </c>
      <c r="E506" s="24"/>
      <c r="F506" s="45"/>
      <c r="G506" s="45"/>
      <c r="H506" s="24"/>
      <c r="I506" s="25" t="str">
        <f>IFERROR(($D506/50-_xlfn.XLOOKUP($E506,$O$35:$O$43,$T$35:$T$43)*F506)/$P$9,"")</f>
        <v/>
      </c>
      <c r="J506" s="25" t="str">
        <f>IFERROR(_xlfn.XLOOKUP($E506,$O$35:$O$43,$T$35:$T$43)*G506/$P$9,"")</f>
        <v/>
      </c>
      <c r="K506" s="25" t="str">
        <f>IF(E506=$O$43,($D506/50-$T$43*$P$9)/$P$9,"")</f>
        <v/>
      </c>
      <c r="L506" s="25" t="str">
        <f>IFERROR(($D506/50-_xlfn.XLOOKUP($H506,$O$48:$O$62,$T$48:$T$62)*$P$14)/$P$9,"")</f>
        <v/>
      </c>
      <c r="M506" s="14">
        <f t="shared" si="7"/>
        <v>0</v>
      </c>
    </row>
    <row r="507" spans="2:13" x14ac:dyDescent="0.25">
      <c r="B507" s="10" t="str">
        <f>IF('Importér data'!C518="type",'Importér data'!F518,"")</f>
        <v/>
      </c>
      <c r="C507" s="10">
        <f>'Importér data'!H518</f>
        <v>0</v>
      </c>
      <c r="D507" s="32" t="str">
        <f>IF('Importér data'!C518="type",'Importér data'!N518,"")</f>
        <v/>
      </c>
      <c r="E507" s="24"/>
      <c r="F507" s="45"/>
      <c r="G507" s="45"/>
      <c r="H507" s="24"/>
      <c r="I507" s="25" t="str">
        <f>IFERROR(($D507/50-_xlfn.XLOOKUP($E507,$O$35:$O$43,$T$35:$T$43)*F507)/$P$9,"")</f>
        <v/>
      </c>
      <c r="J507" s="25" t="str">
        <f>IFERROR(_xlfn.XLOOKUP($E507,$O$35:$O$43,$T$35:$T$43)*G507/$P$9,"")</f>
        <v/>
      </c>
      <c r="K507" s="25" t="str">
        <f>IF(E507=$O$43,($D507/50-$T$43*$P$9)/$P$9,"")</f>
        <v/>
      </c>
      <c r="L507" s="25" t="str">
        <f>IFERROR(($D507/50-_xlfn.XLOOKUP($H507,$O$48:$O$62,$T$48:$T$62)*$P$14)/$P$9,"")</f>
        <v/>
      </c>
      <c r="M507" s="14">
        <f t="shared" si="7"/>
        <v>0</v>
      </c>
    </row>
    <row r="508" spans="2:13" x14ac:dyDescent="0.25">
      <c r="B508" s="10" t="str">
        <f>IF('Importér data'!C519="type",'Importér data'!F519,"")</f>
        <v/>
      </c>
      <c r="C508" s="10">
        <f>'Importér data'!H519</f>
        <v>0</v>
      </c>
      <c r="D508" s="32" t="str">
        <f>IF('Importér data'!C519="type",'Importér data'!N519,"")</f>
        <v/>
      </c>
      <c r="E508" s="24"/>
      <c r="F508" s="45"/>
      <c r="G508" s="45"/>
      <c r="H508" s="24"/>
      <c r="I508" s="25" t="str">
        <f>IFERROR(($D508/50-_xlfn.XLOOKUP($E508,$O$35:$O$43,$T$35:$T$43)*F508)/$P$9,"")</f>
        <v/>
      </c>
      <c r="J508" s="25" t="str">
        <f>IFERROR(_xlfn.XLOOKUP($E508,$O$35:$O$43,$T$35:$T$43)*G508/$P$9,"")</f>
        <v/>
      </c>
      <c r="K508" s="25" t="str">
        <f>IF(E508=$O$43,($D508/50-$T$43*$P$9)/$P$9,"")</f>
        <v/>
      </c>
      <c r="L508" s="25" t="str">
        <f>IFERROR(($D508/50-_xlfn.XLOOKUP($H508,$O$48:$O$62,$T$48:$T$62)*$P$14)/$P$9,"")</f>
        <v/>
      </c>
      <c r="M508" s="14">
        <f t="shared" si="7"/>
        <v>0</v>
      </c>
    </row>
    <row r="509" spans="2:13" x14ac:dyDescent="0.25">
      <c r="B509" s="10" t="str">
        <f>IF('Importér data'!C520="type",'Importér data'!F520,"")</f>
        <v/>
      </c>
      <c r="C509" s="10">
        <f>'Importér data'!H520</f>
        <v>0</v>
      </c>
      <c r="D509" s="32" t="str">
        <f>IF('Importér data'!C520="type",'Importér data'!N520,"")</f>
        <v/>
      </c>
      <c r="E509" s="24"/>
      <c r="F509" s="45"/>
      <c r="G509" s="45"/>
      <c r="H509" s="24"/>
      <c r="I509" s="25" t="str">
        <f>IFERROR(($D509/50-_xlfn.XLOOKUP($E509,$O$35:$O$43,$T$35:$T$43)*F509)/$P$9,"")</f>
        <v/>
      </c>
      <c r="J509" s="25" t="str">
        <f>IFERROR(_xlfn.XLOOKUP($E509,$O$35:$O$43,$T$35:$T$43)*G509/$P$9,"")</f>
        <v/>
      </c>
      <c r="K509" s="25" t="str">
        <f>IF(E509=$O$43,($D509/50-$T$43*$P$9)/$P$9,"")</f>
        <v/>
      </c>
      <c r="L509" s="25" t="str">
        <f>IFERROR(($D509/50-_xlfn.XLOOKUP($H509,$O$48:$O$62,$T$48:$T$62)*$P$14)/$P$9,"")</f>
        <v/>
      </c>
      <c r="M509" s="14">
        <f t="shared" si="7"/>
        <v>0</v>
      </c>
    </row>
    <row r="510" spans="2:13" x14ac:dyDescent="0.25">
      <c r="B510" s="10" t="str">
        <f>IF('Importér data'!C521="type",'Importér data'!F521,"")</f>
        <v/>
      </c>
      <c r="C510" s="10">
        <f>'Importér data'!H521</f>
        <v>0</v>
      </c>
      <c r="D510" s="32" t="str">
        <f>IF('Importér data'!C521="type",'Importér data'!N521,"")</f>
        <v/>
      </c>
      <c r="E510" s="24"/>
      <c r="F510" s="45"/>
      <c r="G510" s="45"/>
      <c r="H510" s="24"/>
      <c r="I510" s="25" t="str">
        <f>IFERROR(($D510/50-_xlfn.XLOOKUP($E510,$O$35:$O$43,$T$35:$T$43)*F510)/$P$9,"")</f>
        <v/>
      </c>
      <c r="J510" s="25" t="str">
        <f>IFERROR(_xlfn.XLOOKUP($E510,$O$35:$O$43,$T$35:$T$43)*G510/$P$9,"")</f>
        <v/>
      </c>
      <c r="K510" s="25" t="str">
        <f>IF(E510=$O$43,($D510/50-$T$43*$P$9)/$P$9,"")</f>
        <v/>
      </c>
      <c r="L510" s="25" t="str">
        <f>IFERROR(($D510/50-_xlfn.XLOOKUP($H510,$O$48:$O$62,$T$48:$T$62)*$P$14)/$P$9,"")</f>
        <v/>
      </c>
      <c r="M510" s="14">
        <f t="shared" si="7"/>
        <v>0</v>
      </c>
    </row>
    <row r="511" spans="2:13" x14ac:dyDescent="0.25">
      <c r="B511" s="10" t="str">
        <f>IF('Importér data'!C522="type",'Importér data'!F522,"")</f>
        <v/>
      </c>
      <c r="C511" s="10">
        <f>'Importér data'!H522</f>
        <v>0</v>
      </c>
      <c r="D511" s="32" t="str">
        <f>IF('Importér data'!C522="type",'Importér data'!N522,"")</f>
        <v/>
      </c>
      <c r="E511" s="24"/>
      <c r="F511" s="45"/>
      <c r="G511" s="45"/>
      <c r="H511" s="24"/>
      <c r="I511" s="25" t="str">
        <f>IFERROR(($D511/50-_xlfn.XLOOKUP($E511,$O$35:$O$43,$T$35:$T$43)*F511)/$P$9,"")</f>
        <v/>
      </c>
      <c r="J511" s="25" t="str">
        <f>IFERROR(_xlfn.XLOOKUP($E511,$O$35:$O$43,$T$35:$T$43)*G511/$P$9,"")</f>
        <v/>
      </c>
      <c r="K511" s="25" t="str">
        <f>IF(E511=$O$43,($D511/50-$T$43*$P$9)/$P$9,"")</f>
        <v/>
      </c>
      <c r="L511" s="25" t="str">
        <f>IFERROR(($D511/50-_xlfn.XLOOKUP($H511,$O$48:$O$62,$T$48:$T$62)*$P$14)/$P$9,"")</f>
        <v/>
      </c>
      <c r="M511" s="14">
        <f t="shared" si="7"/>
        <v>0</v>
      </c>
    </row>
    <row r="512" spans="2:13" x14ac:dyDescent="0.25">
      <c r="B512" s="10" t="str">
        <f>IF('Importér data'!C523="type",'Importér data'!F523,"")</f>
        <v/>
      </c>
      <c r="C512" s="10">
        <f>'Importér data'!H523</f>
        <v>0</v>
      </c>
      <c r="D512" s="32" t="str">
        <f>IF('Importér data'!C523="type",'Importér data'!N523,"")</f>
        <v/>
      </c>
      <c r="E512" s="24"/>
      <c r="F512" s="45"/>
      <c r="G512" s="45"/>
      <c r="H512" s="24"/>
      <c r="I512" s="25" t="str">
        <f>IFERROR(($D512/50-_xlfn.XLOOKUP($E512,$O$35:$O$43,$T$35:$T$43)*F512)/$P$9,"")</f>
        <v/>
      </c>
      <c r="J512" s="25" t="str">
        <f>IFERROR(_xlfn.XLOOKUP($E512,$O$35:$O$43,$T$35:$T$43)*G512/$P$9,"")</f>
        <v/>
      </c>
      <c r="K512" s="25" t="str">
        <f>IF(E512=$O$43,($D512/50-$T$43*$P$9)/$P$9,"")</f>
        <v/>
      </c>
      <c r="L512" s="25" t="str">
        <f>IFERROR(($D512/50-_xlfn.XLOOKUP($H512,$O$48:$O$62,$T$48:$T$62)*$P$14)/$P$9,"")</f>
        <v/>
      </c>
      <c r="M512" s="14">
        <f t="shared" si="7"/>
        <v>0</v>
      </c>
    </row>
    <row r="513" spans="2:13" x14ac:dyDescent="0.25">
      <c r="B513" s="10" t="str">
        <f>IF('Importér data'!C524="type",'Importér data'!F524,"")</f>
        <v/>
      </c>
      <c r="C513" s="10">
        <f>'Importér data'!H524</f>
        <v>0</v>
      </c>
      <c r="D513" s="32" t="str">
        <f>IF('Importér data'!C524="type",'Importér data'!N524,"")</f>
        <v/>
      </c>
      <c r="E513" s="24"/>
      <c r="F513" s="45"/>
      <c r="G513" s="45"/>
      <c r="H513" s="24"/>
      <c r="I513" s="25" t="str">
        <f>IFERROR(($D513/50-_xlfn.XLOOKUP($E513,$O$35:$O$43,$T$35:$T$43)*F513)/$P$9,"")</f>
        <v/>
      </c>
      <c r="J513" s="25" t="str">
        <f>IFERROR(_xlfn.XLOOKUP($E513,$O$35:$O$43,$T$35:$T$43)*G513/$P$9,"")</f>
        <v/>
      </c>
      <c r="K513" s="25" t="str">
        <f>IF(E513=$O$43,($D513/50-$T$43*$P$9)/$P$9,"")</f>
        <v/>
      </c>
      <c r="L513" s="25" t="str">
        <f>IFERROR(($D513/50-_xlfn.XLOOKUP($H513,$O$48:$O$62,$T$48:$T$62)*$P$14)/$P$9,"")</f>
        <v/>
      </c>
      <c r="M513" s="14">
        <f t="shared" si="7"/>
        <v>0</v>
      </c>
    </row>
    <row r="514" spans="2:13" x14ac:dyDescent="0.25">
      <c r="B514" s="10" t="str">
        <f>IF('Importér data'!C525="type",'Importér data'!F525,"")</f>
        <v/>
      </c>
      <c r="C514" s="10">
        <f>'Importér data'!H525</f>
        <v>0</v>
      </c>
      <c r="D514" s="32" t="str">
        <f>IF('Importér data'!C525="type",'Importér data'!N525,"")</f>
        <v/>
      </c>
      <c r="E514" s="24"/>
      <c r="F514" s="45"/>
      <c r="G514" s="45"/>
      <c r="H514" s="24"/>
      <c r="I514" s="25" t="str">
        <f>IFERROR(($D514/50-_xlfn.XLOOKUP($E514,$O$35:$O$43,$T$35:$T$43)*F514)/$P$9,"")</f>
        <v/>
      </c>
      <c r="J514" s="25" t="str">
        <f>IFERROR(_xlfn.XLOOKUP($E514,$O$35:$O$43,$T$35:$T$43)*G514/$P$9,"")</f>
        <v/>
      </c>
      <c r="K514" s="25" t="str">
        <f>IF(E514=$O$43,($D514/50-$T$43*$P$9)/$P$9,"")</f>
        <v/>
      </c>
      <c r="L514" s="25" t="str">
        <f>IFERROR(($D514/50-_xlfn.XLOOKUP($H514,$O$48:$O$62,$T$48:$T$62)*$P$14)/$P$9,"")</f>
        <v/>
      </c>
      <c r="M514" s="14">
        <f t="shared" si="7"/>
        <v>0</v>
      </c>
    </row>
    <row r="515" spans="2:13" x14ac:dyDescent="0.25">
      <c r="B515" s="10" t="str">
        <f>IF('Importér data'!C526="type",'Importér data'!F526,"")</f>
        <v/>
      </c>
      <c r="C515" s="10">
        <f>'Importér data'!H526</f>
        <v>0</v>
      </c>
      <c r="D515" s="32" t="str">
        <f>IF('Importér data'!C526="type",'Importér data'!N526,"")</f>
        <v/>
      </c>
      <c r="E515" s="24"/>
      <c r="F515" s="45"/>
      <c r="G515" s="45"/>
      <c r="H515" s="24"/>
      <c r="I515" s="25" t="str">
        <f>IFERROR(($D515/50-_xlfn.XLOOKUP($E515,$O$35:$O$43,$T$35:$T$43)*F515)/$P$9,"")</f>
        <v/>
      </c>
      <c r="J515" s="25" t="str">
        <f>IFERROR(_xlfn.XLOOKUP($E515,$O$35:$O$43,$T$35:$T$43)*G515/$P$9,"")</f>
        <v/>
      </c>
      <c r="K515" s="25" t="str">
        <f>IF(E515=$O$43,($D515/50-$T$43*$P$9)/$P$9,"")</f>
        <v/>
      </c>
      <c r="L515" s="25" t="str">
        <f>IFERROR(($D515/50-_xlfn.XLOOKUP($H515,$O$48:$O$62,$T$48:$T$62)*$P$14)/$P$9,"")</f>
        <v/>
      </c>
      <c r="M515" s="14">
        <f t="shared" si="7"/>
        <v>0</v>
      </c>
    </row>
    <row r="516" spans="2:13" x14ac:dyDescent="0.25">
      <c r="B516" s="10" t="str">
        <f>IF('Importér data'!C527="type",'Importér data'!F527,"")</f>
        <v/>
      </c>
      <c r="C516" s="10">
        <f>'Importér data'!H527</f>
        <v>0</v>
      </c>
      <c r="D516" s="32" t="str">
        <f>IF('Importér data'!C527="type",'Importér data'!N527,"")</f>
        <v/>
      </c>
      <c r="E516" s="24"/>
      <c r="F516" s="45"/>
      <c r="G516" s="45"/>
      <c r="H516" s="24"/>
      <c r="I516" s="25" t="str">
        <f>IFERROR(($D516/50-_xlfn.XLOOKUP($E516,$O$35:$O$43,$T$35:$T$43)*F516)/$P$9,"")</f>
        <v/>
      </c>
      <c r="J516" s="25" t="str">
        <f>IFERROR(_xlfn.XLOOKUP($E516,$O$35:$O$43,$T$35:$T$43)*G516/$P$9,"")</f>
        <v/>
      </c>
      <c r="K516" s="25" t="str">
        <f>IF(E516=$O$43,($D516/50-$T$43*$P$9)/$P$9,"")</f>
        <v/>
      </c>
      <c r="L516" s="25" t="str">
        <f>IFERROR(($D516/50-_xlfn.XLOOKUP($H516,$O$48:$O$62,$T$48:$T$62)*$P$14)/$P$9,"")</f>
        <v/>
      </c>
      <c r="M516" s="14">
        <f t="shared" si="7"/>
        <v>0</v>
      </c>
    </row>
    <row r="517" spans="2:13" x14ac:dyDescent="0.25">
      <c r="B517" s="10" t="str">
        <f>IF('Importér data'!C528="type",'Importér data'!F528,"")</f>
        <v/>
      </c>
      <c r="C517" s="10">
        <f>'Importér data'!H528</f>
        <v>0</v>
      </c>
      <c r="D517" s="32" t="str">
        <f>IF('Importér data'!C528="type",'Importér data'!N528,"")</f>
        <v/>
      </c>
      <c r="E517" s="24"/>
      <c r="F517" s="45"/>
      <c r="G517" s="45"/>
      <c r="H517" s="24"/>
      <c r="I517" s="25" t="str">
        <f>IFERROR(($D517/50-_xlfn.XLOOKUP($E517,$O$35:$O$43,$T$35:$T$43)*F517)/$P$9,"")</f>
        <v/>
      </c>
      <c r="J517" s="25" t="str">
        <f>IFERROR(_xlfn.XLOOKUP($E517,$O$35:$O$43,$T$35:$T$43)*G517/$P$9,"")</f>
        <v/>
      </c>
      <c r="K517" s="25" t="str">
        <f>IF(E517=$O$43,($D517/50-$T$43*$P$9)/$P$9,"")</f>
        <v/>
      </c>
      <c r="L517" s="25" t="str">
        <f>IFERROR(($D517/50-_xlfn.XLOOKUP($H517,$O$48:$O$62,$T$48:$T$62)*$P$14)/$P$9,"")</f>
        <v/>
      </c>
      <c r="M517" s="14">
        <f t="shared" si="7"/>
        <v>0</v>
      </c>
    </row>
    <row r="518" spans="2:13" x14ac:dyDescent="0.25">
      <c r="B518" s="10" t="str">
        <f>IF('Importér data'!C529="type",'Importér data'!F529,"")</f>
        <v/>
      </c>
      <c r="C518" s="10">
        <f>'Importér data'!H529</f>
        <v>0</v>
      </c>
      <c r="D518" s="32" t="str">
        <f>IF('Importér data'!C529="type",'Importér data'!N529,"")</f>
        <v/>
      </c>
      <c r="E518" s="24"/>
      <c r="F518" s="45"/>
      <c r="G518" s="45"/>
      <c r="H518" s="24"/>
      <c r="I518" s="25" t="str">
        <f>IFERROR(($D518/50-_xlfn.XLOOKUP($E518,$O$35:$O$43,$T$35:$T$43)*F518)/$P$9,"")</f>
        <v/>
      </c>
      <c r="J518" s="25" t="str">
        <f>IFERROR(_xlfn.XLOOKUP($E518,$O$35:$O$43,$T$35:$T$43)*G518/$P$9,"")</f>
        <v/>
      </c>
      <c r="K518" s="25" t="str">
        <f>IF(E518=$O$43,($D518/50-$T$43*$P$9)/$P$9,"")</f>
        <v/>
      </c>
      <c r="L518" s="25" t="str">
        <f>IFERROR(($D518/50-_xlfn.XLOOKUP($H518,$O$48:$O$62,$T$48:$T$62)*$P$14)/$P$9,"")</f>
        <v/>
      </c>
      <c r="M518" s="14">
        <f t="shared" ref="M518:M581" si="8">SUM(I518:L518)</f>
        <v>0</v>
      </c>
    </row>
    <row r="519" spans="2:13" x14ac:dyDescent="0.25">
      <c r="B519" s="10" t="str">
        <f>IF('Importér data'!C530="type",'Importér data'!F530,"")</f>
        <v/>
      </c>
      <c r="C519" s="10">
        <f>'Importér data'!H530</f>
        <v>0</v>
      </c>
      <c r="D519" s="32" t="str">
        <f>IF('Importér data'!C530="type",'Importér data'!N530,"")</f>
        <v/>
      </c>
      <c r="E519" s="24"/>
      <c r="F519" s="45"/>
      <c r="G519" s="45"/>
      <c r="H519" s="24"/>
      <c r="I519" s="25" t="str">
        <f>IFERROR(($D519/50-_xlfn.XLOOKUP($E519,$O$35:$O$43,$T$35:$T$43)*F519)/$P$9,"")</f>
        <v/>
      </c>
      <c r="J519" s="25" t="str">
        <f>IFERROR(_xlfn.XLOOKUP($E519,$O$35:$O$43,$T$35:$T$43)*G519/$P$9,"")</f>
        <v/>
      </c>
      <c r="K519" s="25" t="str">
        <f>IF(E519=$O$43,($D519/50-$T$43*$P$9)/$P$9,"")</f>
        <v/>
      </c>
      <c r="L519" s="25" t="str">
        <f>IFERROR(($D519/50-_xlfn.XLOOKUP($H519,$O$48:$O$62,$T$48:$T$62)*$P$14)/$P$9,"")</f>
        <v/>
      </c>
      <c r="M519" s="14">
        <f t="shared" si="8"/>
        <v>0</v>
      </c>
    </row>
    <row r="520" spans="2:13" x14ac:dyDescent="0.25">
      <c r="B520" s="10" t="str">
        <f>IF('Importér data'!C531="type",'Importér data'!F531,"")</f>
        <v/>
      </c>
      <c r="C520" s="10">
        <f>'Importér data'!H531</f>
        <v>0</v>
      </c>
      <c r="D520" s="32" t="str">
        <f>IF('Importér data'!C531="type",'Importér data'!N531,"")</f>
        <v/>
      </c>
      <c r="E520" s="24"/>
      <c r="F520" s="45"/>
      <c r="G520" s="45"/>
      <c r="H520" s="24"/>
      <c r="I520" s="25" t="str">
        <f>IFERROR(($D520/50-_xlfn.XLOOKUP($E520,$O$35:$O$43,$T$35:$T$43)*F520)/$P$9,"")</f>
        <v/>
      </c>
      <c r="J520" s="25" t="str">
        <f>IFERROR(_xlfn.XLOOKUP($E520,$O$35:$O$43,$T$35:$T$43)*G520/$P$9,"")</f>
        <v/>
      </c>
      <c r="K520" s="25" t="str">
        <f>IF(E520=$O$43,($D520/50-$T$43*$P$9)/$P$9,"")</f>
        <v/>
      </c>
      <c r="L520" s="25" t="str">
        <f>IFERROR(($D520/50-_xlfn.XLOOKUP($H520,$O$48:$O$62,$T$48:$T$62)*$P$14)/$P$9,"")</f>
        <v/>
      </c>
      <c r="M520" s="14">
        <f t="shared" si="8"/>
        <v>0</v>
      </c>
    </row>
    <row r="521" spans="2:13" x14ac:dyDescent="0.25">
      <c r="B521" s="10" t="str">
        <f>IF('Importér data'!C532="type",'Importér data'!F532,"")</f>
        <v/>
      </c>
      <c r="C521" s="10">
        <f>'Importér data'!H532</f>
        <v>0</v>
      </c>
      <c r="D521" s="32" t="str">
        <f>IF('Importér data'!C532="type",'Importér data'!N532,"")</f>
        <v/>
      </c>
      <c r="E521" s="24"/>
      <c r="F521" s="45"/>
      <c r="G521" s="45"/>
      <c r="H521" s="24"/>
      <c r="I521" s="25" t="str">
        <f>IFERROR(($D521/50-_xlfn.XLOOKUP($E521,$O$35:$O$43,$T$35:$T$43)*F521)/$P$9,"")</f>
        <v/>
      </c>
      <c r="J521" s="25" t="str">
        <f>IFERROR(_xlfn.XLOOKUP($E521,$O$35:$O$43,$T$35:$T$43)*G521/$P$9,"")</f>
        <v/>
      </c>
      <c r="K521" s="25" t="str">
        <f>IF(E521=$O$43,($D521/50-$T$43*$P$9)/$P$9,"")</f>
        <v/>
      </c>
      <c r="L521" s="25" t="str">
        <f>IFERROR(($D521/50-_xlfn.XLOOKUP($H521,$O$48:$O$62,$T$48:$T$62)*$P$14)/$P$9,"")</f>
        <v/>
      </c>
      <c r="M521" s="14">
        <f t="shared" si="8"/>
        <v>0</v>
      </c>
    </row>
    <row r="522" spans="2:13" x14ac:dyDescent="0.25">
      <c r="B522" s="10" t="str">
        <f>IF('Importér data'!C533="type",'Importér data'!F533,"")</f>
        <v/>
      </c>
      <c r="C522" s="10">
        <f>'Importér data'!H533</f>
        <v>0</v>
      </c>
      <c r="D522" s="32" t="str">
        <f>IF('Importér data'!C533="type",'Importér data'!N533,"")</f>
        <v/>
      </c>
      <c r="E522" s="24"/>
      <c r="F522" s="45"/>
      <c r="G522" s="45"/>
      <c r="H522" s="24"/>
      <c r="I522" s="25" t="str">
        <f>IFERROR(($D522/50-_xlfn.XLOOKUP($E522,$O$35:$O$43,$T$35:$T$43)*F522)/$P$9,"")</f>
        <v/>
      </c>
      <c r="J522" s="25" t="str">
        <f>IFERROR(_xlfn.XLOOKUP($E522,$O$35:$O$43,$T$35:$T$43)*G522/$P$9,"")</f>
        <v/>
      </c>
      <c r="K522" s="25" t="str">
        <f>IF(E522=$O$43,($D522/50-$T$43*$P$9)/$P$9,"")</f>
        <v/>
      </c>
      <c r="L522" s="25" t="str">
        <f>IFERROR(($D522/50-_xlfn.XLOOKUP($H522,$O$48:$O$62,$T$48:$T$62)*$P$14)/$P$9,"")</f>
        <v/>
      </c>
      <c r="M522" s="14">
        <f t="shared" si="8"/>
        <v>0</v>
      </c>
    </row>
    <row r="523" spans="2:13" x14ac:dyDescent="0.25">
      <c r="B523" s="10" t="str">
        <f>IF('Importér data'!C534="type",'Importér data'!F534,"")</f>
        <v/>
      </c>
      <c r="C523" s="10">
        <f>'Importér data'!H534</f>
        <v>0</v>
      </c>
      <c r="D523" s="32" t="str">
        <f>IF('Importér data'!C534="type",'Importér data'!N534,"")</f>
        <v/>
      </c>
      <c r="E523" s="24"/>
      <c r="F523" s="45"/>
      <c r="G523" s="45"/>
      <c r="H523" s="24"/>
      <c r="I523" s="25" t="str">
        <f>IFERROR(($D523/50-_xlfn.XLOOKUP($E523,$O$35:$O$43,$T$35:$T$43)*F523)/$P$9,"")</f>
        <v/>
      </c>
      <c r="J523" s="25" t="str">
        <f>IFERROR(_xlfn.XLOOKUP($E523,$O$35:$O$43,$T$35:$T$43)*G523/$P$9,"")</f>
        <v/>
      </c>
      <c r="K523" s="25" t="str">
        <f>IF(E523=$O$43,($D523/50-$T$43*$P$9)/$P$9,"")</f>
        <v/>
      </c>
      <c r="L523" s="25" t="str">
        <f>IFERROR(($D523/50-_xlfn.XLOOKUP($H523,$O$48:$O$62,$T$48:$T$62)*$P$14)/$P$9,"")</f>
        <v/>
      </c>
      <c r="M523" s="14">
        <f t="shared" si="8"/>
        <v>0</v>
      </c>
    </row>
    <row r="524" spans="2:13" x14ac:dyDescent="0.25">
      <c r="B524" s="10" t="str">
        <f>IF('Importér data'!C535="type",'Importér data'!F535,"")</f>
        <v/>
      </c>
      <c r="C524" s="10">
        <f>'Importér data'!H535</f>
        <v>0</v>
      </c>
      <c r="D524" s="32" t="str">
        <f>IF('Importér data'!C535="type",'Importér data'!N535,"")</f>
        <v/>
      </c>
      <c r="E524" s="24"/>
      <c r="F524" s="45"/>
      <c r="G524" s="45"/>
      <c r="H524" s="24"/>
      <c r="I524" s="25" t="str">
        <f>IFERROR(($D524/50-_xlfn.XLOOKUP($E524,$O$35:$O$43,$T$35:$T$43)*F524)/$P$9,"")</f>
        <v/>
      </c>
      <c r="J524" s="25" t="str">
        <f>IFERROR(_xlfn.XLOOKUP($E524,$O$35:$O$43,$T$35:$T$43)*G524/$P$9,"")</f>
        <v/>
      </c>
      <c r="K524" s="25" t="str">
        <f>IF(E524=$O$43,($D524/50-$T$43*$P$9)/$P$9,"")</f>
        <v/>
      </c>
      <c r="L524" s="25" t="str">
        <f>IFERROR(($D524/50-_xlfn.XLOOKUP($H524,$O$48:$O$62,$T$48:$T$62)*$P$14)/$P$9,"")</f>
        <v/>
      </c>
      <c r="M524" s="14">
        <f t="shared" si="8"/>
        <v>0</v>
      </c>
    </row>
    <row r="525" spans="2:13" x14ac:dyDescent="0.25">
      <c r="B525" s="10" t="str">
        <f>IF('Importér data'!C536="type",'Importér data'!F536,"")</f>
        <v/>
      </c>
      <c r="C525" s="10">
        <f>'Importér data'!H536</f>
        <v>0</v>
      </c>
      <c r="D525" s="32" t="str">
        <f>IF('Importér data'!C536="type",'Importér data'!N536,"")</f>
        <v/>
      </c>
      <c r="E525" s="24"/>
      <c r="F525" s="45"/>
      <c r="G525" s="45"/>
      <c r="H525" s="24"/>
      <c r="I525" s="25" t="str">
        <f>IFERROR(($D525/50-_xlfn.XLOOKUP($E525,$O$35:$O$43,$T$35:$T$43)*F525)/$P$9,"")</f>
        <v/>
      </c>
      <c r="J525" s="25" t="str">
        <f>IFERROR(_xlfn.XLOOKUP($E525,$O$35:$O$43,$T$35:$T$43)*G525/$P$9,"")</f>
        <v/>
      </c>
      <c r="K525" s="25" t="str">
        <f>IF(E525=$O$43,($D525/50-$T$43*$P$9)/$P$9,"")</f>
        <v/>
      </c>
      <c r="L525" s="25" t="str">
        <f>IFERROR(($D525/50-_xlfn.XLOOKUP($H525,$O$48:$O$62,$T$48:$T$62)*$P$14)/$P$9,"")</f>
        <v/>
      </c>
      <c r="M525" s="14">
        <f t="shared" si="8"/>
        <v>0</v>
      </c>
    </row>
    <row r="526" spans="2:13" x14ac:dyDescent="0.25">
      <c r="B526" s="10" t="str">
        <f>IF('Importér data'!C537="type",'Importér data'!F537,"")</f>
        <v/>
      </c>
      <c r="C526" s="10">
        <f>'Importér data'!H537</f>
        <v>0</v>
      </c>
      <c r="D526" s="32" t="str">
        <f>IF('Importér data'!C537="type",'Importér data'!N537,"")</f>
        <v/>
      </c>
      <c r="E526" s="24"/>
      <c r="F526" s="45"/>
      <c r="G526" s="45"/>
      <c r="H526" s="24"/>
      <c r="I526" s="25" t="str">
        <f>IFERROR(($D526/50-_xlfn.XLOOKUP($E526,$O$35:$O$43,$T$35:$T$43)*F526)/$P$9,"")</f>
        <v/>
      </c>
      <c r="J526" s="25" t="str">
        <f>IFERROR(_xlfn.XLOOKUP($E526,$O$35:$O$43,$T$35:$T$43)*G526/$P$9,"")</f>
        <v/>
      </c>
      <c r="K526" s="25" t="str">
        <f>IF(E526=$O$43,($D526/50-$T$43*$P$9)/$P$9,"")</f>
        <v/>
      </c>
      <c r="L526" s="25" t="str">
        <f>IFERROR(($D526/50-_xlfn.XLOOKUP($H526,$O$48:$O$62,$T$48:$T$62)*$P$14)/$P$9,"")</f>
        <v/>
      </c>
      <c r="M526" s="14">
        <f t="shared" si="8"/>
        <v>0</v>
      </c>
    </row>
    <row r="527" spans="2:13" x14ac:dyDescent="0.25">
      <c r="B527" s="10" t="str">
        <f>IF('Importér data'!C538="type",'Importér data'!F538,"")</f>
        <v/>
      </c>
      <c r="C527" s="10">
        <f>'Importér data'!H538</f>
        <v>0</v>
      </c>
      <c r="D527" s="32" t="str">
        <f>IF('Importér data'!C538="type",'Importér data'!N538,"")</f>
        <v/>
      </c>
      <c r="E527" s="24"/>
      <c r="F527" s="45"/>
      <c r="G527" s="45"/>
      <c r="H527" s="24"/>
      <c r="I527" s="25" t="str">
        <f>IFERROR(($D527/50-_xlfn.XLOOKUP($E527,$O$35:$O$43,$T$35:$T$43)*F527)/$P$9,"")</f>
        <v/>
      </c>
      <c r="J527" s="25" t="str">
        <f>IFERROR(_xlfn.XLOOKUP($E527,$O$35:$O$43,$T$35:$T$43)*G527/$P$9,"")</f>
        <v/>
      </c>
      <c r="K527" s="25" t="str">
        <f>IF(E527=$O$43,($D527/50-$T$43*$P$9)/$P$9,"")</f>
        <v/>
      </c>
      <c r="L527" s="25" t="str">
        <f>IFERROR(($D527/50-_xlfn.XLOOKUP($H527,$O$48:$O$62,$T$48:$T$62)*$P$14)/$P$9,"")</f>
        <v/>
      </c>
      <c r="M527" s="14">
        <f t="shared" si="8"/>
        <v>0</v>
      </c>
    </row>
    <row r="528" spans="2:13" x14ac:dyDescent="0.25">
      <c r="B528" s="10" t="str">
        <f>IF('Importér data'!C539="type",'Importér data'!F539,"")</f>
        <v/>
      </c>
      <c r="C528" s="10">
        <f>'Importér data'!H539</f>
        <v>0</v>
      </c>
      <c r="D528" s="32" t="str">
        <f>IF('Importér data'!C539="type",'Importér data'!N539,"")</f>
        <v/>
      </c>
      <c r="E528" s="24"/>
      <c r="F528" s="45"/>
      <c r="G528" s="45"/>
      <c r="H528" s="24"/>
      <c r="I528" s="25" t="str">
        <f>IFERROR(($D528/50-_xlfn.XLOOKUP($E528,$O$35:$O$43,$T$35:$T$43)*F528)/$P$9,"")</f>
        <v/>
      </c>
      <c r="J528" s="25" t="str">
        <f>IFERROR(_xlfn.XLOOKUP($E528,$O$35:$O$43,$T$35:$T$43)*G528/$P$9,"")</f>
        <v/>
      </c>
      <c r="K528" s="25" t="str">
        <f>IF(E528=$O$43,($D528/50-$T$43*$P$9)/$P$9,"")</f>
        <v/>
      </c>
      <c r="L528" s="25" t="str">
        <f>IFERROR(($D528/50-_xlfn.XLOOKUP($H528,$O$48:$O$62,$T$48:$T$62)*$P$14)/$P$9,"")</f>
        <v/>
      </c>
      <c r="M528" s="14">
        <f t="shared" si="8"/>
        <v>0</v>
      </c>
    </row>
    <row r="529" spans="2:13" x14ac:dyDescent="0.25">
      <c r="B529" s="10" t="str">
        <f>IF('Importér data'!C540="type",'Importér data'!F540,"")</f>
        <v/>
      </c>
      <c r="C529" s="10">
        <f>'Importér data'!H540</f>
        <v>0</v>
      </c>
      <c r="D529" s="32" t="str">
        <f>IF('Importér data'!C540="type",'Importér data'!N540,"")</f>
        <v/>
      </c>
      <c r="E529" s="24"/>
      <c r="F529" s="45"/>
      <c r="G529" s="45"/>
      <c r="H529" s="24"/>
      <c r="I529" s="25" t="str">
        <f>IFERROR(($D529/50-_xlfn.XLOOKUP($E529,$O$35:$O$43,$T$35:$T$43)*F529)/$P$9,"")</f>
        <v/>
      </c>
      <c r="J529" s="25" t="str">
        <f>IFERROR(_xlfn.XLOOKUP($E529,$O$35:$O$43,$T$35:$T$43)*G529/$P$9,"")</f>
        <v/>
      </c>
      <c r="K529" s="25" t="str">
        <f>IF(E529=$O$43,($D529/50-$T$43*$P$9)/$P$9,"")</f>
        <v/>
      </c>
      <c r="L529" s="25" t="str">
        <f>IFERROR(($D529/50-_xlfn.XLOOKUP($H529,$O$48:$O$62,$T$48:$T$62)*$P$14)/$P$9,"")</f>
        <v/>
      </c>
      <c r="M529" s="14">
        <f t="shared" si="8"/>
        <v>0</v>
      </c>
    </row>
    <row r="530" spans="2:13" x14ac:dyDescent="0.25">
      <c r="B530" s="10" t="str">
        <f>IF('Importér data'!C541="type",'Importér data'!F541,"")</f>
        <v/>
      </c>
      <c r="C530" s="10">
        <f>'Importér data'!H541</f>
        <v>0</v>
      </c>
      <c r="D530" s="32" t="str">
        <f>IF('Importér data'!C541="type",'Importér data'!N541,"")</f>
        <v/>
      </c>
      <c r="E530" s="24"/>
      <c r="F530" s="45"/>
      <c r="G530" s="45"/>
      <c r="H530" s="24"/>
      <c r="I530" s="25" t="str">
        <f>IFERROR(($D530/50-_xlfn.XLOOKUP($E530,$O$35:$O$43,$T$35:$T$43)*F530)/$P$9,"")</f>
        <v/>
      </c>
      <c r="J530" s="25" t="str">
        <f>IFERROR(_xlfn.XLOOKUP($E530,$O$35:$O$43,$T$35:$T$43)*G530/$P$9,"")</f>
        <v/>
      </c>
      <c r="K530" s="25" t="str">
        <f>IF(E530=$O$43,($D530/50-$T$43*$P$9)/$P$9,"")</f>
        <v/>
      </c>
      <c r="L530" s="25" t="str">
        <f>IFERROR(($D530/50-_xlfn.XLOOKUP($H530,$O$48:$O$62,$T$48:$T$62)*$P$14)/$P$9,"")</f>
        <v/>
      </c>
      <c r="M530" s="14">
        <f t="shared" si="8"/>
        <v>0</v>
      </c>
    </row>
    <row r="531" spans="2:13" x14ac:dyDescent="0.25">
      <c r="B531" s="10" t="str">
        <f>IF('Importér data'!C542="type",'Importér data'!F542,"")</f>
        <v/>
      </c>
      <c r="C531" s="10">
        <f>'Importér data'!H542</f>
        <v>0</v>
      </c>
      <c r="D531" s="32" t="str">
        <f>IF('Importér data'!C542="type",'Importér data'!N542,"")</f>
        <v/>
      </c>
      <c r="E531" s="24"/>
      <c r="F531" s="45"/>
      <c r="G531" s="45"/>
      <c r="H531" s="24"/>
      <c r="I531" s="25" t="str">
        <f>IFERROR(($D531/50-_xlfn.XLOOKUP($E531,$O$35:$O$43,$T$35:$T$43)*F531)/$P$9,"")</f>
        <v/>
      </c>
      <c r="J531" s="25" t="str">
        <f>IFERROR(_xlfn.XLOOKUP($E531,$O$35:$O$43,$T$35:$T$43)*G531/$P$9,"")</f>
        <v/>
      </c>
      <c r="K531" s="25" t="str">
        <f>IF(E531=$O$43,($D531/50-$T$43*$P$9)/$P$9,"")</f>
        <v/>
      </c>
      <c r="L531" s="25" t="str">
        <f>IFERROR(($D531/50-_xlfn.XLOOKUP($H531,$O$48:$O$62,$T$48:$T$62)*$P$14)/$P$9,"")</f>
        <v/>
      </c>
      <c r="M531" s="14">
        <f t="shared" si="8"/>
        <v>0</v>
      </c>
    </row>
    <row r="532" spans="2:13" x14ac:dyDescent="0.25">
      <c r="B532" s="10" t="str">
        <f>IF('Importér data'!C543="type",'Importér data'!F543,"")</f>
        <v/>
      </c>
      <c r="C532" s="10">
        <f>'Importér data'!H543</f>
        <v>0</v>
      </c>
      <c r="D532" s="32" t="str">
        <f>IF('Importér data'!C543="type",'Importér data'!N543,"")</f>
        <v/>
      </c>
      <c r="E532" s="24"/>
      <c r="F532" s="45"/>
      <c r="G532" s="45"/>
      <c r="H532" s="24"/>
      <c r="I532" s="25" t="str">
        <f>IFERROR(($D532/50-_xlfn.XLOOKUP($E532,$O$35:$O$43,$T$35:$T$43)*F532)/$P$9,"")</f>
        <v/>
      </c>
      <c r="J532" s="25" t="str">
        <f>IFERROR(_xlfn.XLOOKUP($E532,$O$35:$O$43,$T$35:$T$43)*G532/$P$9,"")</f>
        <v/>
      </c>
      <c r="K532" s="25" t="str">
        <f>IF(E532=$O$43,($D532/50-$T$43*$P$9)/$P$9,"")</f>
        <v/>
      </c>
      <c r="L532" s="25" t="str">
        <f>IFERROR(($D532/50-_xlfn.XLOOKUP($H532,$O$48:$O$62,$T$48:$T$62)*$P$14)/$P$9,"")</f>
        <v/>
      </c>
      <c r="M532" s="14">
        <f t="shared" si="8"/>
        <v>0</v>
      </c>
    </row>
    <row r="533" spans="2:13" x14ac:dyDescent="0.25">
      <c r="B533" s="10" t="str">
        <f>IF('Importér data'!C544="type",'Importér data'!F544,"")</f>
        <v/>
      </c>
      <c r="C533" s="10">
        <f>'Importér data'!H544</f>
        <v>0</v>
      </c>
      <c r="D533" s="32" t="str">
        <f>IF('Importér data'!C544="type",'Importér data'!N544,"")</f>
        <v/>
      </c>
      <c r="E533" s="24"/>
      <c r="F533" s="45"/>
      <c r="G533" s="45"/>
      <c r="H533" s="24"/>
      <c r="I533" s="25" t="str">
        <f>IFERROR(($D533/50-_xlfn.XLOOKUP($E533,$O$35:$O$43,$T$35:$T$43)*F533)/$P$9,"")</f>
        <v/>
      </c>
      <c r="J533" s="25" t="str">
        <f>IFERROR(_xlfn.XLOOKUP($E533,$O$35:$O$43,$T$35:$T$43)*G533/$P$9,"")</f>
        <v/>
      </c>
      <c r="K533" s="25" t="str">
        <f>IF(E533=$O$43,($D533/50-$T$43*$P$9)/$P$9,"")</f>
        <v/>
      </c>
      <c r="L533" s="25" t="str">
        <f>IFERROR(($D533/50-_xlfn.XLOOKUP($H533,$O$48:$O$62,$T$48:$T$62)*$P$14)/$P$9,"")</f>
        <v/>
      </c>
      <c r="M533" s="14">
        <f t="shared" si="8"/>
        <v>0</v>
      </c>
    </row>
    <row r="534" spans="2:13" x14ac:dyDescent="0.25">
      <c r="B534" s="10" t="str">
        <f>IF('Importér data'!C545="type",'Importér data'!F545,"")</f>
        <v/>
      </c>
      <c r="C534" s="10">
        <f>'Importér data'!H545</f>
        <v>0</v>
      </c>
      <c r="D534" s="32" t="str">
        <f>IF('Importér data'!C545="type",'Importér data'!N545,"")</f>
        <v/>
      </c>
      <c r="E534" s="24"/>
      <c r="F534" s="45"/>
      <c r="G534" s="45"/>
      <c r="H534" s="24"/>
      <c r="I534" s="25" t="str">
        <f>IFERROR(($D534/50-_xlfn.XLOOKUP($E534,$O$35:$O$43,$T$35:$T$43)*F534)/$P$9,"")</f>
        <v/>
      </c>
      <c r="J534" s="25" t="str">
        <f>IFERROR(_xlfn.XLOOKUP($E534,$O$35:$O$43,$T$35:$T$43)*G534/$P$9,"")</f>
        <v/>
      </c>
      <c r="K534" s="25" t="str">
        <f>IF(E534=$O$43,($D534/50-$T$43*$P$9)/$P$9,"")</f>
        <v/>
      </c>
      <c r="L534" s="25" t="str">
        <f>IFERROR(($D534/50-_xlfn.XLOOKUP($H534,$O$48:$O$62,$T$48:$T$62)*$P$14)/$P$9,"")</f>
        <v/>
      </c>
      <c r="M534" s="14">
        <f t="shared" si="8"/>
        <v>0</v>
      </c>
    </row>
    <row r="535" spans="2:13" x14ac:dyDescent="0.25">
      <c r="B535" s="10" t="str">
        <f>IF('Importér data'!C546="type",'Importér data'!F546,"")</f>
        <v/>
      </c>
      <c r="C535" s="10">
        <f>'Importér data'!H546</f>
        <v>0</v>
      </c>
      <c r="D535" s="32" t="str">
        <f>IF('Importér data'!C546="type",'Importér data'!N546,"")</f>
        <v/>
      </c>
      <c r="E535" s="24"/>
      <c r="F535" s="45"/>
      <c r="G535" s="45"/>
      <c r="H535" s="24"/>
      <c r="I535" s="25" t="str">
        <f>IFERROR(($D535/50-_xlfn.XLOOKUP($E535,$O$35:$O$43,$T$35:$T$43)*F535)/$P$9,"")</f>
        <v/>
      </c>
      <c r="J535" s="25" t="str">
        <f>IFERROR(_xlfn.XLOOKUP($E535,$O$35:$O$43,$T$35:$T$43)*G535/$P$9,"")</f>
        <v/>
      </c>
      <c r="K535" s="25" t="str">
        <f>IF(E535=$O$43,($D535/50-$T$43*$P$9)/$P$9,"")</f>
        <v/>
      </c>
      <c r="L535" s="25" t="str">
        <f>IFERROR(($D535/50-_xlfn.XLOOKUP($H535,$O$48:$O$62,$T$48:$T$62)*$P$14)/$P$9,"")</f>
        <v/>
      </c>
      <c r="M535" s="14">
        <f t="shared" si="8"/>
        <v>0</v>
      </c>
    </row>
    <row r="536" spans="2:13" x14ac:dyDescent="0.25">
      <c r="B536" s="10" t="str">
        <f>IF('Importér data'!C547="type",'Importér data'!F547,"")</f>
        <v/>
      </c>
      <c r="C536" s="10">
        <f>'Importér data'!H547</f>
        <v>0</v>
      </c>
      <c r="D536" s="32" t="str">
        <f>IF('Importér data'!C547="type",'Importér data'!N547,"")</f>
        <v/>
      </c>
      <c r="E536" s="24"/>
      <c r="F536" s="45"/>
      <c r="G536" s="45"/>
      <c r="H536" s="24"/>
      <c r="I536" s="25" t="str">
        <f>IFERROR(($D536/50-_xlfn.XLOOKUP($E536,$O$35:$O$43,$T$35:$T$43)*F536)/$P$9,"")</f>
        <v/>
      </c>
      <c r="J536" s="25" t="str">
        <f>IFERROR(_xlfn.XLOOKUP($E536,$O$35:$O$43,$T$35:$T$43)*G536/$P$9,"")</f>
        <v/>
      </c>
      <c r="K536" s="25" t="str">
        <f>IF(E536=$O$43,($D536/50-$T$43*$P$9)/$P$9,"")</f>
        <v/>
      </c>
      <c r="L536" s="25" t="str">
        <f>IFERROR(($D536/50-_xlfn.XLOOKUP($H536,$O$48:$O$62,$T$48:$T$62)*$P$14)/$P$9,"")</f>
        <v/>
      </c>
      <c r="M536" s="14">
        <f t="shared" si="8"/>
        <v>0</v>
      </c>
    </row>
    <row r="537" spans="2:13" x14ac:dyDescent="0.25">
      <c r="B537" s="10" t="str">
        <f>IF('Importér data'!C548="type",'Importér data'!F548,"")</f>
        <v/>
      </c>
      <c r="C537" s="10">
        <f>'Importér data'!H548</f>
        <v>0</v>
      </c>
      <c r="D537" s="32" t="str">
        <f>IF('Importér data'!C548="type",'Importér data'!N548,"")</f>
        <v/>
      </c>
      <c r="E537" s="24"/>
      <c r="F537" s="45"/>
      <c r="G537" s="45"/>
      <c r="H537" s="24"/>
      <c r="I537" s="25" t="str">
        <f>IFERROR(($D537/50-_xlfn.XLOOKUP($E537,$O$35:$O$43,$T$35:$T$43)*F537)/$P$9,"")</f>
        <v/>
      </c>
      <c r="J537" s="25" t="str">
        <f>IFERROR(_xlfn.XLOOKUP($E537,$O$35:$O$43,$T$35:$T$43)*G537/$P$9,"")</f>
        <v/>
      </c>
      <c r="K537" s="25" t="str">
        <f>IF(E537=$O$43,($D537/50-$T$43*$P$9)/$P$9,"")</f>
        <v/>
      </c>
      <c r="L537" s="25" t="str">
        <f>IFERROR(($D537/50-_xlfn.XLOOKUP($H537,$O$48:$O$62,$T$48:$T$62)*$P$14)/$P$9,"")</f>
        <v/>
      </c>
      <c r="M537" s="14">
        <f t="shared" si="8"/>
        <v>0</v>
      </c>
    </row>
    <row r="538" spans="2:13" x14ac:dyDescent="0.25">
      <c r="B538" s="10" t="str">
        <f>IF('Importér data'!C549="type",'Importér data'!F549,"")</f>
        <v/>
      </c>
      <c r="C538" s="10">
        <f>'Importér data'!H549</f>
        <v>0</v>
      </c>
      <c r="D538" s="32" t="str">
        <f>IF('Importér data'!C549="type",'Importér data'!N549,"")</f>
        <v/>
      </c>
      <c r="E538" s="24"/>
      <c r="F538" s="45"/>
      <c r="G538" s="45"/>
      <c r="H538" s="24"/>
      <c r="I538" s="25" t="str">
        <f>IFERROR(($D538/50-_xlfn.XLOOKUP($E538,$O$35:$O$43,$T$35:$T$43)*F538)/$P$9,"")</f>
        <v/>
      </c>
      <c r="J538" s="25" t="str">
        <f>IFERROR(_xlfn.XLOOKUP($E538,$O$35:$O$43,$T$35:$T$43)*G538/$P$9,"")</f>
        <v/>
      </c>
      <c r="K538" s="25" t="str">
        <f>IF(E538=$O$43,($D538/50-$T$43*$P$9)/$P$9,"")</f>
        <v/>
      </c>
      <c r="L538" s="25" t="str">
        <f>IFERROR(($D538/50-_xlfn.XLOOKUP($H538,$O$48:$O$62,$T$48:$T$62)*$P$14)/$P$9,"")</f>
        <v/>
      </c>
      <c r="M538" s="14">
        <f t="shared" si="8"/>
        <v>0</v>
      </c>
    </row>
    <row r="539" spans="2:13" x14ac:dyDescent="0.25">
      <c r="B539" s="10" t="str">
        <f>IF('Importér data'!C550="type",'Importér data'!F550,"")</f>
        <v/>
      </c>
      <c r="C539" s="10">
        <f>'Importér data'!H550</f>
        <v>0</v>
      </c>
      <c r="D539" s="32" t="str">
        <f>IF('Importér data'!C550="type",'Importér data'!N550,"")</f>
        <v/>
      </c>
      <c r="E539" s="24"/>
      <c r="F539" s="45"/>
      <c r="G539" s="45"/>
      <c r="H539" s="24"/>
      <c r="I539" s="25" t="str">
        <f>IFERROR(($D539/50-_xlfn.XLOOKUP($E539,$O$35:$O$43,$T$35:$T$43)*F539)/$P$9,"")</f>
        <v/>
      </c>
      <c r="J539" s="25" t="str">
        <f>IFERROR(_xlfn.XLOOKUP($E539,$O$35:$O$43,$T$35:$T$43)*G539/$P$9,"")</f>
        <v/>
      </c>
      <c r="K539" s="25" t="str">
        <f>IF(E539=$O$43,($D539/50-$T$43*$P$9)/$P$9,"")</f>
        <v/>
      </c>
      <c r="L539" s="25" t="str">
        <f>IFERROR(($D539/50-_xlfn.XLOOKUP($H539,$O$48:$O$62,$T$48:$T$62)*$P$14)/$P$9,"")</f>
        <v/>
      </c>
      <c r="M539" s="14">
        <f t="shared" si="8"/>
        <v>0</v>
      </c>
    </row>
    <row r="540" spans="2:13" x14ac:dyDescent="0.25">
      <c r="B540" s="10" t="str">
        <f>IF('Importér data'!C551="type",'Importér data'!F551,"")</f>
        <v/>
      </c>
      <c r="C540" s="10">
        <f>'Importér data'!H551</f>
        <v>0</v>
      </c>
      <c r="D540" s="32" t="str">
        <f>IF('Importér data'!C551="type",'Importér data'!N551,"")</f>
        <v/>
      </c>
      <c r="E540" s="24"/>
      <c r="F540" s="45"/>
      <c r="G540" s="45"/>
      <c r="H540" s="24"/>
      <c r="I540" s="25" t="str">
        <f>IFERROR(($D540/50-_xlfn.XLOOKUP($E540,$O$35:$O$43,$T$35:$T$43)*F540)/$P$9,"")</f>
        <v/>
      </c>
      <c r="J540" s="25" t="str">
        <f>IFERROR(_xlfn.XLOOKUP($E540,$O$35:$O$43,$T$35:$T$43)*G540/$P$9,"")</f>
        <v/>
      </c>
      <c r="K540" s="25" t="str">
        <f>IF(E540=$O$43,($D540/50-$T$43*$P$9)/$P$9,"")</f>
        <v/>
      </c>
      <c r="L540" s="25" t="str">
        <f>IFERROR(($D540/50-_xlfn.XLOOKUP($H540,$O$48:$O$62,$T$48:$T$62)*$P$14)/$P$9,"")</f>
        <v/>
      </c>
      <c r="M540" s="14">
        <f t="shared" si="8"/>
        <v>0</v>
      </c>
    </row>
    <row r="541" spans="2:13" x14ac:dyDescent="0.25">
      <c r="B541" s="10" t="str">
        <f>IF('Importér data'!C552="type",'Importér data'!F552,"")</f>
        <v/>
      </c>
      <c r="C541" s="10">
        <f>'Importér data'!H552</f>
        <v>0</v>
      </c>
      <c r="D541" s="32" t="str">
        <f>IF('Importér data'!C552="type",'Importér data'!N552,"")</f>
        <v/>
      </c>
      <c r="E541" s="24"/>
      <c r="F541" s="45"/>
      <c r="G541" s="45"/>
      <c r="H541" s="24"/>
      <c r="I541" s="25" t="str">
        <f>IFERROR(($D541/50-_xlfn.XLOOKUP($E541,$O$35:$O$43,$T$35:$T$43)*F541)/$P$9,"")</f>
        <v/>
      </c>
      <c r="J541" s="25" t="str">
        <f>IFERROR(_xlfn.XLOOKUP($E541,$O$35:$O$43,$T$35:$T$43)*G541/$P$9,"")</f>
        <v/>
      </c>
      <c r="K541" s="25" t="str">
        <f>IF(E541=$O$43,($D541/50-$T$43*$P$9)/$P$9,"")</f>
        <v/>
      </c>
      <c r="L541" s="25" t="str">
        <f>IFERROR(($D541/50-_xlfn.XLOOKUP($H541,$O$48:$O$62,$T$48:$T$62)*$P$14)/$P$9,"")</f>
        <v/>
      </c>
      <c r="M541" s="14">
        <f t="shared" si="8"/>
        <v>0</v>
      </c>
    </row>
    <row r="542" spans="2:13" x14ac:dyDescent="0.25">
      <c r="B542" s="10" t="str">
        <f>IF('Importér data'!C553="type",'Importér data'!F553,"")</f>
        <v/>
      </c>
      <c r="C542" s="10">
        <f>'Importér data'!H553</f>
        <v>0</v>
      </c>
      <c r="D542" s="32" t="str">
        <f>IF('Importér data'!C553="type",'Importér data'!N553,"")</f>
        <v/>
      </c>
      <c r="E542" s="24"/>
      <c r="F542" s="45"/>
      <c r="G542" s="45"/>
      <c r="H542" s="24"/>
      <c r="I542" s="25" t="str">
        <f>IFERROR(($D542/50-_xlfn.XLOOKUP($E542,$O$35:$O$43,$T$35:$T$43)*F542)/$P$9,"")</f>
        <v/>
      </c>
      <c r="J542" s="25" t="str">
        <f>IFERROR(_xlfn.XLOOKUP($E542,$O$35:$O$43,$T$35:$T$43)*G542/$P$9,"")</f>
        <v/>
      </c>
      <c r="K542" s="25" t="str">
        <f>IF(E542=$O$43,($D542/50-$T$43*$P$9)/$P$9,"")</f>
        <v/>
      </c>
      <c r="L542" s="25" t="str">
        <f>IFERROR(($D542/50-_xlfn.XLOOKUP($H542,$O$48:$O$62,$T$48:$T$62)*$P$14)/$P$9,"")</f>
        <v/>
      </c>
      <c r="M542" s="14">
        <f t="shared" si="8"/>
        <v>0</v>
      </c>
    </row>
    <row r="543" spans="2:13" x14ac:dyDescent="0.25">
      <c r="B543" s="10" t="str">
        <f>IF('Importér data'!C554="type",'Importér data'!F554,"")</f>
        <v/>
      </c>
      <c r="C543" s="10">
        <f>'Importér data'!H554</f>
        <v>0</v>
      </c>
      <c r="D543" s="32" t="str">
        <f>IF('Importér data'!C554="type",'Importér data'!N554,"")</f>
        <v/>
      </c>
      <c r="E543" s="24"/>
      <c r="F543" s="45"/>
      <c r="G543" s="45"/>
      <c r="H543" s="24"/>
      <c r="I543" s="25" t="str">
        <f>IFERROR(($D543/50-_xlfn.XLOOKUP($E543,$O$35:$O$43,$T$35:$T$43)*F543)/$P$9,"")</f>
        <v/>
      </c>
      <c r="J543" s="25" t="str">
        <f>IFERROR(_xlfn.XLOOKUP($E543,$O$35:$O$43,$T$35:$T$43)*G543/$P$9,"")</f>
        <v/>
      </c>
      <c r="K543" s="25" t="str">
        <f>IF(E543=$O$43,($D543/50-$T$43*$P$9)/$P$9,"")</f>
        <v/>
      </c>
      <c r="L543" s="25" t="str">
        <f>IFERROR(($D543/50-_xlfn.XLOOKUP($H543,$O$48:$O$62,$T$48:$T$62)*$P$14)/$P$9,"")</f>
        <v/>
      </c>
      <c r="M543" s="14">
        <f t="shared" si="8"/>
        <v>0</v>
      </c>
    </row>
    <row r="544" spans="2:13" x14ac:dyDescent="0.25">
      <c r="B544" s="10" t="str">
        <f>IF('Importér data'!C555="type",'Importér data'!F555,"")</f>
        <v/>
      </c>
      <c r="C544" s="10">
        <f>'Importér data'!H555</f>
        <v>0</v>
      </c>
      <c r="D544" s="32" t="str">
        <f>IF('Importér data'!C555="type",'Importér data'!N555,"")</f>
        <v/>
      </c>
      <c r="E544" s="24"/>
      <c r="F544" s="45"/>
      <c r="G544" s="45"/>
      <c r="H544" s="24"/>
      <c r="I544" s="25" t="str">
        <f>IFERROR(($D544/50-_xlfn.XLOOKUP($E544,$O$35:$O$43,$T$35:$T$43)*F544)/$P$9,"")</f>
        <v/>
      </c>
      <c r="J544" s="25" t="str">
        <f>IFERROR(_xlfn.XLOOKUP($E544,$O$35:$O$43,$T$35:$T$43)*G544/$P$9,"")</f>
        <v/>
      </c>
      <c r="K544" s="25" t="str">
        <f>IF(E544=$O$43,($D544/50-$T$43*$P$9)/$P$9,"")</f>
        <v/>
      </c>
      <c r="L544" s="25" t="str">
        <f>IFERROR(($D544/50-_xlfn.XLOOKUP($H544,$O$48:$O$62,$T$48:$T$62)*$P$14)/$P$9,"")</f>
        <v/>
      </c>
      <c r="M544" s="14">
        <f t="shared" si="8"/>
        <v>0</v>
      </c>
    </row>
    <row r="545" spans="2:13" x14ac:dyDescent="0.25">
      <c r="B545" s="10" t="str">
        <f>IF('Importér data'!C556="type",'Importér data'!F556,"")</f>
        <v/>
      </c>
      <c r="C545" s="10">
        <f>'Importér data'!H556</f>
        <v>0</v>
      </c>
      <c r="D545" s="32" t="str">
        <f>IF('Importér data'!C556="type",'Importér data'!N556,"")</f>
        <v/>
      </c>
      <c r="E545" s="24"/>
      <c r="F545" s="45"/>
      <c r="G545" s="45"/>
      <c r="H545" s="24"/>
      <c r="I545" s="25" t="str">
        <f>IFERROR(($D545/50-_xlfn.XLOOKUP($E545,$O$35:$O$43,$T$35:$T$43)*F545)/$P$9,"")</f>
        <v/>
      </c>
      <c r="J545" s="25" t="str">
        <f>IFERROR(_xlfn.XLOOKUP($E545,$O$35:$O$43,$T$35:$T$43)*G545/$P$9,"")</f>
        <v/>
      </c>
      <c r="K545" s="25" t="str">
        <f>IF(E545=$O$43,($D545/50-$T$43*$P$9)/$P$9,"")</f>
        <v/>
      </c>
      <c r="L545" s="25" t="str">
        <f>IFERROR(($D545/50-_xlfn.XLOOKUP($H545,$O$48:$O$62,$T$48:$T$62)*$P$14)/$P$9,"")</f>
        <v/>
      </c>
      <c r="M545" s="14">
        <f t="shared" si="8"/>
        <v>0</v>
      </c>
    </row>
    <row r="546" spans="2:13" x14ac:dyDescent="0.25">
      <c r="B546" s="10" t="str">
        <f>IF('Importér data'!C557="type",'Importér data'!F557,"")</f>
        <v/>
      </c>
      <c r="C546" s="10">
        <f>'Importér data'!H557</f>
        <v>0</v>
      </c>
      <c r="D546" s="32" t="str">
        <f>IF('Importér data'!C557="type",'Importér data'!N557,"")</f>
        <v/>
      </c>
      <c r="E546" s="24"/>
      <c r="F546" s="45"/>
      <c r="G546" s="45"/>
      <c r="H546" s="24"/>
      <c r="I546" s="25" t="str">
        <f>IFERROR(($D546/50-_xlfn.XLOOKUP($E546,$O$35:$O$43,$T$35:$T$43)*F546)/$P$9,"")</f>
        <v/>
      </c>
      <c r="J546" s="25" t="str">
        <f>IFERROR(_xlfn.XLOOKUP($E546,$O$35:$O$43,$T$35:$T$43)*G546/$P$9,"")</f>
        <v/>
      </c>
      <c r="K546" s="25" t="str">
        <f>IF(E546=$O$43,($D546/50-$T$43*$P$9)/$P$9,"")</f>
        <v/>
      </c>
      <c r="L546" s="25" t="str">
        <f>IFERROR(($D546/50-_xlfn.XLOOKUP($H546,$O$48:$O$62,$T$48:$T$62)*$P$14)/$P$9,"")</f>
        <v/>
      </c>
      <c r="M546" s="14">
        <f t="shared" si="8"/>
        <v>0</v>
      </c>
    </row>
    <row r="547" spans="2:13" x14ac:dyDescent="0.25">
      <c r="B547" s="10" t="str">
        <f>IF('Importér data'!C558="type",'Importér data'!F558,"")</f>
        <v/>
      </c>
      <c r="C547" s="10">
        <f>'Importér data'!H558</f>
        <v>0</v>
      </c>
      <c r="D547" s="32" t="str">
        <f>IF('Importér data'!C558="type",'Importér data'!N558,"")</f>
        <v/>
      </c>
      <c r="E547" s="24"/>
      <c r="F547" s="45"/>
      <c r="G547" s="45"/>
      <c r="H547" s="24"/>
      <c r="I547" s="25" t="str">
        <f>IFERROR(($D547/50-_xlfn.XLOOKUP($E547,$O$35:$O$43,$T$35:$T$43)*F547)/$P$9,"")</f>
        <v/>
      </c>
      <c r="J547" s="25" t="str">
        <f>IFERROR(_xlfn.XLOOKUP($E547,$O$35:$O$43,$T$35:$T$43)*G547/$P$9,"")</f>
        <v/>
      </c>
      <c r="K547" s="25" t="str">
        <f>IF(E547=$O$43,($D547/50-$T$43*$P$9)/$P$9,"")</f>
        <v/>
      </c>
      <c r="L547" s="25" t="str">
        <f>IFERROR(($D547/50-_xlfn.XLOOKUP($H547,$O$48:$O$62,$T$48:$T$62)*$P$14)/$P$9,"")</f>
        <v/>
      </c>
      <c r="M547" s="14">
        <f t="shared" si="8"/>
        <v>0</v>
      </c>
    </row>
    <row r="548" spans="2:13" x14ac:dyDescent="0.25">
      <c r="B548" s="10" t="str">
        <f>IF('Importér data'!C559="type",'Importér data'!F559,"")</f>
        <v/>
      </c>
      <c r="C548" s="10">
        <f>'Importér data'!H559</f>
        <v>0</v>
      </c>
      <c r="D548" s="32" t="str">
        <f>IF('Importér data'!C559="type",'Importér data'!N559,"")</f>
        <v/>
      </c>
      <c r="E548" s="24"/>
      <c r="F548" s="45"/>
      <c r="G548" s="45"/>
      <c r="H548" s="24"/>
      <c r="I548" s="25" t="str">
        <f>IFERROR(($D548/50-_xlfn.XLOOKUP($E548,$O$35:$O$43,$T$35:$T$43)*F548)/$P$9,"")</f>
        <v/>
      </c>
      <c r="J548" s="25" t="str">
        <f>IFERROR(_xlfn.XLOOKUP($E548,$O$35:$O$43,$T$35:$T$43)*G548/$P$9,"")</f>
        <v/>
      </c>
      <c r="K548" s="25" t="str">
        <f>IF(E548=$O$43,($D548/50-$T$43*$P$9)/$P$9,"")</f>
        <v/>
      </c>
      <c r="L548" s="25" t="str">
        <f>IFERROR(($D548/50-_xlfn.XLOOKUP($H548,$O$48:$O$62,$T$48:$T$62)*$P$14)/$P$9,"")</f>
        <v/>
      </c>
      <c r="M548" s="14">
        <f t="shared" si="8"/>
        <v>0</v>
      </c>
    </row>
    <row r="549" spans="2:13" x14ac:dyDescent="0.25">
      <c r="B549" s="10" t="str">
        <f>IF('Importér data'!C560="type",'Importér data'!F560,"")</f>
        <v/>
      </c>
      <c r="C549" s="10">
        <f>'Importér data'!H560</f>
        <v>0</v>
      </c>
      <c r="D549" s="32" t="str">
        <f>IF('Importér data'!C560="type",'Importér data'!N560,"")</f>
        <v/>
      </c>
      <c r="E549" s="24"/>
      <c r="F549" s="45"/>
      <c r="G549" s="45"/>
      <c r="H549" s="24"/>
      <c r="I549" s="25" t="str">
        <f>IFERROR(($D549/50-_xlfn.XLOOKUP($E549,$O$35:$O$43,$T$35:$T$43)*F549)/$P$9,"")</f>
        <v/>
      </c>
      <c r="J549" s="25" t="str">
        <f>IFERROR(_xlfn.XLOOKUP($E549,$O$35:$O$43,$T$35:$T$43)*G549/$P$9,"")</f>
        <v/>
      </c>
      <c r="K549" s="25" t="str">
        <f>IF(E549=$O$43,($D549/50-$T$43*$P$9)/$P$9,"")</f>
        <v/>
      </c>
      <c r="L549" s="25" t="str">
        <f>IFERROR(($D549/50-_xlfn.XLOOKUP($H549,$O$48:$O$62,$T$48:$T$62)*$P$14)/$P$9,"")</f>
        <v/>
      </c>
      <c r="M549" s="14">
        <f t="shared" si="8"/>
        <v>0</v>
      </c>
    </row>
    <row r="550" spans="2:13" x14ac:dyDescent="0.25">
      <c r="B550" s="10" t="str">
        <f>IF('Importér data'!C561="type",'Importér data'!F561,"")</f>
        <v/>
      </c>
      <c r="C550" s="10">
        <f>'Importér data'!H561</f>
        <v>0</v>
      </c>
      <c r="D550" s="32" t="str">
        <f>IF('Importér data'!C561="type",'Importér data'!N561,"")</f>
        <v/>
      </c>
      <c r="E550" s="24"/>
      <c r="F550" s="45"/>
      <c r="G550" s="45"/>
      <c r="H550" s="24"/>
      <c r="I550" s="25" t="str">
        <f>IFERROR(($D550/50-_xlfn.XLOOKUP($E550,$O$35:$O$43,$T$35:$T$43)*F550)/$P$9,"")</f>
        <v/>
      </c>
      <c r="J550" s="25" t="str">
        <f>IFERROR(_xlfn.XLOOKUP($E550,$O$35:$O$43,$T$35:$T$43)*G550/$P$9,"")</f>
        <v/>
      </c>
      <c r="K550" s="25" t="str">
        <f>IF(E550=$O$43,($D550/50-$T$43*$P$9)/$P$9,"")</f>
        <v/>
      </c>
      <c r="L550" s="25" t="str">
        <f>IFERROR(($D550/50-_xlfn.XLOOKUP($H550,$O$48:$O$62,$T$48:$T$62)*$P$14)/$P$9,"")</f>
        <v/>
      </c>
      <c r="M550" s="14">
        <f t="shared" si="8"/>
        <v>0</v>
      </c>
    </row>
    <row r="551" spans="2:13" x14ac:dyDescent="0.25">
      <c r="B551" s="10" t="str">
        <f>IF('Importér data'!C562="type",'Importér data'!F562,"")</f>
        <v/>
      </c>
      <c r="C551" s="10">
        <f>'Importér data'!H562</f>
        <v>0</v>
      </c>
      <c r="D551" s="32" t="str">
        <f>IF('Importér data'!C562="type",'Importér data'!N562,"")</f>
        <v/>
      </c>
      <c r="E551" s="24"/>
      <c r="F551" s="45"/>
      <c r="G551" s="45"/>
      <c r="H551" s="24"/>
      <c r="I551" s="25" t="str">
        <f>IFERROR(($D551/50-_xlfn.XLOOKUP($E551,$O$35:$O$43,$T$35:$T$43)*F551)/$P$9,"")</f>
        <v/>
      </c>
      <c r="J551" s="25" t="str">
        <f>IFERROR(_xlfn.XLOOKUP($E551,$O$35:$O$43,$T$35:$T$43)*G551/$P$9,"")</f>
        <v/>
      </c>
      <c r="K551" s="25" t="str">
        <f>IF(E551=$O$43,($D551/50-$T$43*$P$9)/$P$9,"")</f>
        <v/>
      </c>
      <c r="L551" s="25" t="str">
        <f>IFERROR(($D551/50-_xlfn.XLOOKUP($H551,$O$48:$O$62,$T$48:$T$62)*$P$14)/$P$9,"")</f>
        <v/>
      </c>
      <c r="M551" s="14">
        <f t="shared" si="8"/>
        <v>0</v>
      </c>
    </row>
    <row r="552" spans="2:13" x14ac:dyDescent="0.25">
      <c r="B552" s="10" t="str">
        <f>IF('Importér data'!C563="type",'Importér data'!F563,"")</f>
        <v/>
      </c>
      <c r="C552" s="10">
        <f>'Importér data'!H563</f>
        <v>0</v>
      </c>
      <c r="D552" s="32" t="str">
        <f>IF('Importér data'!C563="type",'Importér data'!N563,"")</f>
        <v/>
      </c>
      <c r="E552" s="24"/>
      <c r="F552" s="45"/>
      <c r="G552" s="45"/>
      <c r="H552" s="24"/>
      <c r="I552" s="25" t="str">
        <f>IFERROR(($D552/50-_xlfn.XLOOKUP($E552,$O$35:$O$43,$T$35:$T$43)*F552)/$P$9,"")</f>
        <v/>
      </c>
      <c r="J552" s="25" t="str">
        <f>IFERROR(_xlfn.XLOOKUP($E552,$O$35:$O$43,$T$35:$T$43)*G552/$P$9,"")</f>
        <v/>
      </c>
      <c r="K552" s="25" t="str">
        <f>IF(E552=$O$43,($D552/50-$T$43*$P$9)/$P$9,"")</f>
        <v/>
      </c>
      <c r="L552" s="25" t="str">
        <f>IFERROR(($D552/50-_xlfn.XLOOKUP($H552,$O$48:$O$62,$T$48:$T$62)*$P$14)/$P$9,"")</f>
        <v/>
      </c>
      <c r="M552" s="14">
        <f t="shared" si="8"/>
        <v>0</v>
      </c>
    </row>
    <row r="553" spans="2:13" x14ac:dyDescent="0.25">
      <c r="B553" s="10" t="str">
        <f>IF('Importér data'!C564="type",'Importér data'!F564,"")</f>
        <v/>
      </c>
      <c r="C553" s="10">
        <f>'Importér data'!H564</f>
        <v>0</v>
      </c>
      <c r="D553" s="32" t="str">
        <f>IF('Importér data'!C564="type",'Importér data'!N564,"")</f>
        <v/>
      </c>
      <c r="E553" s="24"/>
      <c r="F553" s="45"/>
      <c r="G553" s="45"/>
      <c r="H553" s="24"/>
      <c r="I553" s="25" t="str">
        <f>IFERROR(($D553/50-_xlfn.XLOOKUP($E553,$O$35:$O$43,$T$35:$T$43)*F553)/$P$9,"")</f>
        <v/>
      </c>
      <c r="J553" s="25" t="str">
        <f>IFERROR(_xlfn.XLOOKUP($E553,$O$35:$O$43,$T$35:$T$43)*G553/$P$9,"")</f>
        <v/>
      </c>
      <c r="K553" s="25" t="str">
        <f>IF(E553=$O$43,($D553/50-$T$43*$P$9)/$P$9,"")</f>
        <v/>
      </c>
      <c r="L553" s="25" t="str">
        <f>IFERROR(($D553/50-_xlfn.XLOOKUP($H553,$O$48:$O$62,$T$48:$T$62)*$P$14)/$P$9,"")</f>
        <v/>
      </c>
      <c r="M553" s="14">
        <f t="shared" si="8"/>
        <v>0</v>
      </c>
    </row>
    <row r="554" spans="2:13" x14ac:dyDescent="0.25">
      <c r="B554" s="10" t="str">
        <f>IF('Importér data'!C565="type",'Importér data'!F565,"")</f>
        <v/>
      </c>
      <c r="C554" s="10">
        <f>'Importér data'!H565</f>
        <v>0</v>
      </c>
      <c r="D554" s="32" t="str">
        <f>IF('Importér data'!C565="type",'Importér data'!N565,"")</f>
        <v/>
      </c>
      <c r="E554" s="24"/>
      <c r="F554" s="45"/>
      <c r="G554" s="45"/>
      <c r="H554" s="24"/>
      <c r="I554" s="25" t="str">
        <f>IFERROR(($D554/50-_xlfn.XLOOKUP($E554,$O$35:$O$43,$T$35:$T$43)*F554)/$P$9,"")</f>
        <v/>
      </c>
      <c r="J554" s="25" t="str">
        <f>IFERROR(_xlfn.XLOOKUP($E554,$O$35:$O$43,$T$35:$T$43)*G554/$P$9,"")</f>
        <v/>
      </c>
      <c r="K554" s="25" t="str">
        <f>IF(E554=$O$43,($D554/50-$T$43*$P$9)/$P$9,"")</f>
        <v/>
      </c>
      <c r="L554" s="25" t="str">
        <f>IFERROR(($D554/50-_xlfn.XLOOKUP($H554,$O$48:$O$62,$T$48:$T$62)*$P$14)/$P$9,"")</f>
        <v/>
      </c>
      <c r="M554" s="14">
        <f t="shared" si="8"/>
        <v>0</v>
      </c>
    </row>
    <row r="555" spans="2:13" x14ac:dyDescent="0.25">
      <c r="B555" s="10" t="str">
        <f>IF('Importér data'!C566="type",'Importér data'!F566,"")</f>
        <v/>
      </c>
      <c r="C555" s="10">
        <f>'Importér data'!H566</f>
        <v>0</v>
      </c>
      <c r="D555" s="32" t="str">
        <f>IF('Importér data'!C566="type",'Importér data'!N566,"")</f>
        <v/>
      </c>
      <c r="E555" s="24"/>
      <c r="F555" s="45"/>
      <c r="G555" s="45"/>
      <c r="H555" s="24"/>
      <c r="I555" s="25" t="str">
        <f>IFERROR(($D555/50-_xlfn.XLOOKUP($E555,$O$35:$O$43,$T$35:$T$43)*F555)/$P$9,"")</f>
        <v/>
      </c>
      <c r="J555" s="25" t="str">
        <f>IFERROR(_xlfn.XLOOKUP($E555,$O$35:$O$43,$T$35:$T$43)*G555/$P$9,"")</f>
        <v/>
      </c>
      <c r="K555" s="25" t="str">
        <f>IF(E555=$O$43,($D555/50-$T$43*$P$9)/$P$9,"")</f>
        <v/>
      </c>
      <c r="L555" s="25" t="str">
        <f>IFERROR(($D555/50-_xlfn.XLOOKUP($H555,$O$48:$O$62,$T$48:$T$62)*$P$14)/$P$9,"")</f>
        <v/>
      </c>
      <c r="M555" s="14">
        <f t="shared" si="8"/>
        <v>0</v>
      </c>
    </row>
    <row r="556" spans="2:13" x14ac:dyDescent="0.25">
      <c r="B556" s="10" t="str">
        <f>IF('Importér data'!C567="type",'Importér data'!F567,"")</f>
        <v/>
      </c>
      <c r="C556" s="10">
        <f>'Importér data'!H567</f>
        <v>0</v>
      </c>
      <c r="D556" s="32" t="str">
        <f>IF('Importér data'!C567="type",'Importér data'!N567,"")</f>
        <v/>
      </c>
      <c r="E556" s="24"/>
      <c r="F556" s="45"/>
      <c r="G556" s="45"/>
      <c r="H556" s="24"/>
      <c r="I556" s="25" t="str">
        <f>IFERROR(($D556/50-_xlfn.XLOOKUP($E556,$O$35:$O$43,$T$35:$T$43)*F556)/$P$9,"")</f>
        <v/>
      </c>
      <c r="J556" s="25" t="str">
        <f>IFERROR(_xlfn.XLOOKUP($E556,$O$35:$O$43,$T$35:$T$43)*G556/$P$9,"")</f>
        <v/>
      </c>
      <c r="K556" s="25" t="str">
        <f>IF(E556=$O$43,($D556/50-$T$43*$P$9)/$P$9,"")</f>
        <v/>
      </c>
      <c r="L556" s="25" t="str">
        <f>IFERROR(($D556/50-_xlfn.XLOOKUP($H556,$O$48:$O$62,$T$48:$T$62)*$P$14)/$P$9,"")</f>
        <v/>
      </c>
      <c r="M556" s="14">
        <f t="shared" si="8"/>
        <v>0</v>
      </c>
    </row>
    <row r="557" spans="2:13" x14ac:dyDescent="0.25">
      <c r="B557" s="10" t="str">
        <f>IF('Importér data'!C568="type",'Importér data'!F568,"")</f>
        <v/>
      </c>
      <c r="C557" s="10">
        <f>'Importér data'!H568</f>
        <v>0</v>
      </c>
      <c r="D557" s="32" t="str">
        <f>IF('Importér data'!C568="type",'Importér data'!N568,"")</f>
        <v/>
      </c>
      <c r="E557" s="24"/>
      <c r="F557" s="45"/>
      <c r="G557" s="45"/>
      <c r="H557" s="24"/>
      <c r="I557" s="25" t="str">
        <f>IFERROR(($D557/50-_xlfn.XLOOKUP($E557,$O$35:$O$43,$T$35:$T$43)*F557)/$P$9,"")</f>
        <v/>
      </c>
      <c r="J557" s="25" t="str">
        <f>IFERROR(_xlfn.XLOOKUP($E557,$O$35:$O$43,$T$35:$T$43)*G557/$P$9,"")</f>
        <v/>
      </c>
      <c r="K557" s="25" t="str">
        <f>IF(E557=$O$43,($D557/50-$T$43*$P$9)/$P$9,"")</f>
        <v/>
      </c>
      <c r="L557" s="25" t="str">
        <f>IFERROR(($D557/50-_xlfn.XLOOKUP($H557,$O$48:$O$62,$T$48:$T$62)*$P$14)/$P$9,"")</f>
        <v/>
      </c>
      <c r="M557" s="14">
        <f t="shared" si="8"/>
        <v>0</v>
      </c>
    </row>
    <row r="558" spans="2:13" x14ac:dyDescent="0.25">
      <c r="B558" s="10" t="str">
        <f>IF('Importér data'!C569="type",'Importér data'!F569,"")</f>
        <v/>
      </c>
      <c r="C558" s="10">
        <f>'Importér data'!H569</f>
        <v>0</v>
      </c>
      <c r="D558" s="32" t="str">
        <f>IF('Importér data'!C569="type",'Importér data'!N569,"")</f>
        <v/>
      </c>
      <c r="E558" s="24"/>
      <c r="F558" s="45"/>
      <c r="G558" s="45"/>
      <c r="H558" s="24"/>
      <c r="I558" s="25" t="str">
        <f>IFERROR(($D558/50-_xlfn.XLOOKUP($E558,$O$35:$O$43,$T$35:$T$43)*F558)/$P$9,"")</f>
        <v/>
      </c>
      <c r="J558" s="25" t="str">
        <f>IFERROR(_xlfn.XLOOKUP($E558,$O$35:$O$43,$T$35:$T$43)*G558/$P$9,"")</f>
        <v/>
      </c>
      <c r="K558" s="25" t="str">
        <f>IF(E558=$O$43,($D558/50-$T$43*$P$9)/$P$9,"")</f>
        <v/>
      </c>
      <c r="L558" s="25" t="str">
        <f>IFERROR(($D558/50-_xlfn.XLOOKUP($H558,$O$48:$O$62,$T$48:$T$62)*$P$14)/$P$9,"")</f>
        <v/>
      </c>
      <c r="M558" s="14">
        <f t="shared" si="8"/>
        <v>0</v>
      </c>
    </row>
    <row r="559" spans="2:13" x14ac:dyDescent="0.25">
      <c r="B559" s="10" t="str">
        <f>IF('Importér data'!C570="type",'Importér data'!F570,"")</f>
        <v/>
      </c>
      <c r="C559" s="10">
        <f>'Importér data'!H570</f>
        <v>0</v>
      </c>
      <c r="D559" s="32" t="str">
        <f>IF('Importér data'!C570="type",'Importér data'!N570,"")</f>
        <v/>
      </c>
      <c r="E559" s="24"/>
      <c r="F559" s="45"/>
      <c r="G559" s="45"/>
      <c r="H559" s="24"/>
      <c r="I559" s="25" t="str">
        <f>IFERROR(($D559/50-_xlfn.XLOOKUP($E559,$O$35:$O$43,$T$35:$T$43)*F559)/$P$9,"")</f>
        <v/>
      </c>
      <c r="J559" s="25" t="str">
        <f>IFERROR(_xlfn.XLOOKUP($E559,$O$35:$O$43,$T$35:$T$43)*G559/$P$9,"")</f>
        <v/>
      </c>
      <c r="K559" s="25" t="str">
        <f>IF(E559=$O$43,($D559/50-$T$43*$P$9)/$P$9,"")</f>
        <v/>
      </c>
      <c r="L559" s="25" t="str">
        <f>IFERROR(($D559/50-_xlfn.XLOOKUP($H559,$O$48:$O$62,$T$48:$T$62)*$P$14)/$P$9,"")</f>
        <v/>
      </c>
      <c r="M559" s="14">
        <f t="shared" si="8"/>
        <v>0</v>
      </c>
    </row>
    <row r="560" spans="2:13" x14ac:dyDescent="0.25">
      <c r="B560" s="10" t="str">
        <f>IF('Importér data'!C571="type",'Importér data'!F571,"")</f>
        <v/>
      </c>
      <c r="C560" s="10">
        <f>'Importér data'!H571</f>
        <v>0</v>
      </c>
      <c r="D560" s="32" t="str">
        <f>IF('Importér data'!C571="type",'Importér data'!N571,"")</f>
        <v/>
      </c>
      <c r="E560" s="24"/>
      <c r="F560" s="45"/>
      <c r="G560" s="45"/>
      <c r="H560" s="24"/>
      <c r="I560" s="25" t="str">
        <f>IFERROR(($D560/50-_xlfn.XLOOKUP($E560,$O$35:$O$43,$T$35:$T$43)*F560)/$P$9,"")</f>
        <v/>
      </c>
      <c r="J560" s="25" t="str">
        <f>IFERROR(_xlfn.XLOOKUP($E560,$O$35:$O$43,$T$35:$T$43)*G560/$P$9,"")</f>
        <v/>
      </c>
      <c r="K560" s="25" t="str">
        <f>IF(E560=$O$43,($D560/50-$T$43*$P$9)/$P$9,"")</f>
        <v/>
      </c>
      <c r="L560" s="25" t="str">
        <f>IFERROR(($D560/50-_xlfn.XLOOKUP($H560,$O$48:$O$62,$T$48:$T$62)*$P$14)/$P$9,"")</f>
        <v/>
      </c>
      <c r="M560" s="14">
        <f t="shared" si="8"/>
        <v>0</v>
      </c>
    </row>
    <row r="561" spans="2:13" x14ac:dyDescent="0.25">
      <c r="B561" s="10" t="str">
        <f>IF('Importér data'!C572="type",'Importér data'!F572,"")</f>
        <v/>
      </c>
      <c r="C561" s="10">
        <f>'Importér data'!H572</f>
        <v>0</v>
      </c>
      <c r="D561" s="32" t="str">
        <f>IF('Importér data'!C572="type",'Importér data'!N572,"")</f>
        <v/>
      </c>
      <c r="E561" s="24"/>
      <c r="F561" s="45"/>
      <c r="G561" s="45"/>
      <c r="H561" s="24"/>
      <c r="I561" s="25" t="str">
        <f>IFERROR(($D561/50-_xlfn.XLOOKUP($E561,$O$35:$O$43,$T$35:$T$43)*F561)/$P$9,"")</f>
        <v/>
      </c>
      <c r="J561" s="25" t="str">
        <f>IFERROR(_xlfn.XLOOKUP($E561,$O$35:$O$43,$T$35:$T$43)*G561/$P$9,"")</f>
        <v/>
      </c>
      <c r="K561" s="25" t="str">
        <f>IF(E561=$O$43,($D561/50-$T$43*$P$9)/$P$9,"")</f>
        <v/>
      </c>
      <c r="L561" s="25" t="str">
        <f>IFERROR(($D561/50-_xlfn.XLOOKUP($H561,$O$48:$O$62,$T$48:$T$62)*$P$14)/$P$9,"")</f>
        <v/>
      </c>
      <c r="M561" s="14">
        <f t="shared" si="8"/>
        <v>0</v>
      </c>
    </row>
    <row r="562" spans="2:13" x14ac:dyDescent="0.25">
      <c r="B562" s="10" t="str">
        <f>IF('Importér data'!C573="type",'Importér data'!F573,"")</f>
        <v/>
      </c>
      <c r="C562" s="10">
        <f>'Importér data'!H573</f>
        <v>0</v>
      </c>
      <c r="D562" s="32" t="str">
        <f>IF('Importér data'!C573="type",'Importér data'!N573,"")</f>
        <v/>
      </c>
      <c r="E562" s="24"/>
      <c r="F562" s="45"/>
      <c r="G562" s="45"/>
      <c r="H562" s="24"/>
      <c r="I562" s="25" t="str">
        <f>IFERROR(($D562/50-_xlfn.XLOOKUP($E562,$O$35:$O$43,$T$35:$T$43)*F562)/$P$9,"")</f>
        <v/>
      </c>
      <c r="J562" s="25" t="str">
        <f>IFERROR(_xlfn.XLOOKUP($E562,$O$35:$O$43,$T$35:$T$43)*G562/$P$9,"")</f>
        <v/>
      </c>
      <c r="K562" s="25" t="str">
        <f>IF(E562=$O$43,($D562/50-$T$43*$P$9)/$P$9,"")</f>
        <v/>
      </c>
      <c r="L562" s="25" t="str">
        <f>IFERROR(($D562/50-_xlfn.XLOOKUP($H562,$O$48:$O$62,$T$48:$T$62)*$P$14)/$P$9,"")</f>
        <v/>
      </c>
      <c r="M562" s="14">
        <f t="shared" si="8"/>
        <v>0</v>
      </c>
    </row>
    <row r="563" spans="2:13" x14ac:dyDescent="0.25">
      <c r="B563" s="10" t="str">
        <f>IF('Importér data'!C574="type",'Importér data'!F574,"")</f>
        <v/>
      </c>
      <c r="C563" s="10">
        <f>'Importér data'!H574</f>
        <v>0</v>
      </c>
      <c r="D563" s="32" t="str">
        <f>IF('Importér data'!C574="type",'Importér data'!N574,"")</f>
        <v/>
      </c>
      <c r="E563" s="24"/>
      <c r="F563" s="45"/>
      <c r="G563" s="45"/>
      <c r="H563" s="24"/>
      <c r="I563" s="25" t="str">
        <f>IFERROR(($D563/50-_xlfn.XLOOKUP($E563,$O$35:$O$43,$T$35:$T$43)*F563)/$P$9,"")</f>
        <v/>
      </c>
      <c r="J563" s="25" t="str">
        <f>IFERROR(_xlfn.XLOOKUP($E563,$O$35:$O$43,$T$35:$T$43)*G563/$P$9,"")</f>
        <v/>
      </c>
      <c r="K563" s="25" t="str">
        <f>IF(E563=$O$43,($D563/50-$T$43*$P$9)/$P$9,"")</f>
        <v/>
      </c>
      <c r="L563" s="25" t="str">
        <f>IFERROR(($D563/50-_xlfn.XLOOKUP($H563,$O$48:$O$62,$T$48:$T$62)*$P$14)/$P$9,"")</f>
        <v/>
      </c>
      <c r="M563" s="14">
        <f t="shared" si="8"/>
        <v>0</v>
      </c>
    </row>
    <row r="564" spans="2:13" x14ac:dyDescent="0.25">
      <c r="B564" s="10" t="str">
        <f>IF('Importér data'!C575="type",'Importér data'!F575,"")</f>
        <v/>
      </c>
      <c r="C564" s="10">
        <f>'Importér data'!H575</f>
        <v>0</v>
      </c>
      <c r="D564" s="32" t="str">
        <f>IF('Importér data'!C575="type",'Importér data'!N575,"")</f>
        <v/>
      </c>
      <c r="E564" s="24"/>
      <c r="F564" s="45"/>
      <c r="G564" s="45"/>
      <c r="H564" s="24"/>
      <c r="I564" s="25" t="str">
        <f>IFERROR(($D564/50-_xlfn.XLOOKUP($E564,$O$35:$O$43,$T$35:$T$43)*F564)/$P$9,"")</f>
        <v/>
      </c>
      <c r="J564" s="25" t="str">
        <f>IFERROR(_xlfn.XLOOKUP($E564,$O$35:$O$43,$T$35:$T$43)*G564/$P$9,"")</f>
        <v/>
      </c>
      <c r="K564" s="25" t="str">
        <f>IF(E564=$O$43,($D564/50-$T$43*$P$9)/$P$9,"")</f>
        <v/>
      </c>
      <c r="L564" s="25" t="str">
        <f>IFERROR(($D564/50-_xlfn.XLOOKUP($H564,$O$48:$O$62,$T$48:$T$62)*$P$14)/$P$9,"")</f>
        <v/>
      </c>
      <c r="M564" s="14">
        <f t="shared" si="8"/>
        <v>0</v>
      </c>
    </row>
    <row r="565" spans="2:13" x14ac:dyDescent="0.25">
      <c r="B565" s="10" t="str">
        <f>IF('Importér data'!C576="type",'Importér data'!F576,"")</f>
        <v/>
      </c>
      <c r="C565" s="10">
        <f>'Importér data'!H576</f>
        <v>0</v>
      </c>
      <c r="D565" s="32" t="str">
        <f>IF('Importér data'!C576="type",'Importér data'!N576,"")</f>
        <v/>
      </c>
      <c r="E565" s="24"/>
      <c r="F565" s="45"/>
      <c r="G565" s="45"/>
      <c r="H565" s="24"/>
      <c r="I565" s="25" t="str">
        <f>IFERROR(($D565/50-_xlfn.XLOOKUP($E565,$O$35:$O$43,$T$35:$T$43)*F565)/$P$9,"")</f>
        <v/>
      </c>
      <c r="J565" s="25" t="str">
        <f>IFERROR(_xlfn.XLOOKUP($E565,$O$35:$O$43,$T$35:$T$43)*G565/$P$9,"")</f>
        <v/>
      </c>
      <c r="K565" s="25" t="str">
        <f>IF(E565=$O$43,($D565/50-$T$43*$P$9)/$P$9,"")</f>
        <v/>
      </c>
      <c r="L565" s="25" t="str">
        <f>IFERROR(($D565/50-_xlfn.XLOOKUP($H565,$O$48:$O$62,$T$48:$T$62)*$P$14)/$P$9,"")</f>
        <v/>
      </c>
      <c r="M565" s="14">
        <f t="shared" si="8"/>
        <v>0</v>
      </c>
    </row>
    <row r="566" spans="2:13" x14ac:dyDescent="0.25">
      <c r="B566" s="10" t="str">
        <f>IF('Importér data'!C577="type",'Importér data'!F577,"")</f>
        <v/>
      </c>
      <c r="C566" s="10">
        <f>'Importér data'!H577</f>
        <v>0</v>
      </c>
      <c r="D566" s="32" t="str">
        <f>IF('Importér data'!C577="type",'Importér data'!N577,"")</f>
        <v/>
      </c>
      <c r="E566" s="24"/>
      <c r="F566" s="45"/>
      <c r="G566" s="45"/>
      <c r="H566" s="24"/>
      <c r="I566" s="25" t="str">
        <f>IFERROR(($D566/50-_xlfn.XLOOKUP($E566,$O$35:$O$43,$T$35:$T$43)*F566)/$P$9,"")</f>
        <v/>
      </c>
      <c r="J566" s="25" t="str">
        <f>IFERROR(_xlfn.XLOOKUP($E566,$O$35:$O$43,$T$35:$T$43)*G566/$P$9,"")</f>
        <v/>
      </c>
      <c r="K566" s="25" t="str">
        <f>IF(E566=$O$43,($D566/50-$T$43*$P$9)/$P$9,"")</f>
        <v/>
      </c>
      <c r="L566" s="25" t="str">
        <f>IFERROR(($D566/50-_xlfn.XLOOKUP($H566,$O$48:$O$62,$T$48:$T$62)*$P$14)/$P$9,"")</f>
        <v/>
      </c>
      <c r="M566" s="14">
        <f t="shared" si="8"/>
        <v>0</v>
      </c>
    </row>
    <row r="567" spans="2:13" x14ac:dyDescent="0.25">
      <c r="B567" s="10" t="str">
        <f>IF('Importér data'!C578="type",'Importér data'!F578,"")</f>
        <v/>
      </c>
      <c r="C567" s="10">
        <f>'Importér data'!H578</f>
        <v>0</v>
      </c>
      <c r="D567" s="32" t="str">
        <f>IF('Importér data'!C578="type",'Importér data'!N578,"")</f>
        <v/>
      </c>
      <c r="E567" s="24"/>
      <c r="F567" s="45"/>
      <c r="G567" s="45"/>
      <c r="H567" s="24"/>
      <c r="I567" s="25" t="str">
        <f>IFERROR(($D567/50-_xlfn.XLOOKUP($E567,$O$35:$O$43,$T$35:$T$43)*F567)/$P$9,"")</f>
        <v/>
      </c>
      <c r="J567" s="25" t="str">
        <f>IFERROR(_xlfn.XLOOKUP($E567,$O$35:$O$43,$T$35:$T$43)*G567/$P$9,"")</f>
        <v/>
      </c>
      <c r="K567" s="25" t="str">
        <f>IF(E567=$O$43,($D567/50-$T$43*$P$9)/$P$9,"")</f>
        <v/>
      </c>
      <c r="L567" s="25" t="str">
        <f>IFERROR(($D567/50-_xlfn.XLOOKUP($H567,$O$48:$O$62,$T$48:$T$62)*$P$14)/$P$9,"")</f>
        <v/>
      </c>
      <c r="M567" s="14">
        <f t="shared" si="8"/>
        <v>0</v>
      </c>
    </row>
    <row r="568" spans="2:13" x14ac:dyDescent="0.25">
      <c r="B568" s="10" t="str">
        <f>IF('Importér data'!C579="type",'Importér data'!F579,"")</f>
        <v/>
      </c>
      <c r="C568" s="10">
        <f>'Importér data'!H579</f>
        <v>0</v>
      </c>
      <c r="D568" s="32" t="str">
        <f>IF('Importér data'!C579="type",'Importér data'!N579,"")</f>
        <v/>
      </c>
      <c r="E568" s="24"/>
      <c r="F568" s="45"/>
      <c r="G568" s="45"/>
      <c r="H568" s="24"/>
      <c r="I568" s="25" t="str">
        <f>IFERROR(($D568/50-_xlfn.XLOOKUP($E568,$O$35:$O$43,$T$35:$T$43)*F568)/$P$9,"")</f>
        <v/>
      </c>
      <c r="J568" s="25" t="str">
        <f>IFERROR(_xlfn.XLOOKUP($E568,$O$35:$O$43,$T$35:$T$43)*G568/$P$9,"")</f>
        <v/>
      </c>
      <c r="K568" s="25" t="str">
        <f>IF(E568=$O$43,($D568/50-$T$43*$P$9)/$P$9,"")</f>
        <v/>
      </c>
      <c r="L568" s="25" t="str">
        <f>IFERROR(($D568/50-_xlfn.XLOOKUP($H568,$O$48:$O$62,$T$48:$T$62)*$P$14)/$P$9,"")</f>
        <v/>
      </c>
      <c r="M568" s="14">
        <f t="shared" si="8"/>
        <v>0</v>
      </c>
    </row>
    <row r="569" spans="2:13" x14ac:dyDescent="0.25">
      <c r="B569" s="10" t="str">
        <f>IF('Importér data'!C580="type",'Importér data'!F580,"")</f>
        <v/>
      </c>
      <c r="C569" s="10">
        <f>'Importér data'!H580</f>
        <v>0</v>
      </c>
      <c r="D569" s="32" t="str">
        <f>IF('Importér data'!C580="type",'Importér data'!N580,"")</f>
        <v/>
      </c>
      <c r="E569" s="24"/>
      <c r="F569" s="45"/>
      <c r="G569" s="45"/>
      <c r="H569" s="24"/>
      <c r="I569" s="25" t="str">
        <f>IFERROR(($D569/50-_xlfn.XLOOKUP($E569,$O$35:$O$43,$T$35:$T$43)*F569)/$P$9,"")</f>
        <v/>
      </c>
      <c r="J569" s="25" t="str">
        <f>IFERROR(_xlfn.XLOOKUP($E569,$O$35:$O$43,$T$35:$T$43)*G569/$P$9,"")</f>
        <v/>
      </c>
      <c r="K569" s="25" t="str">
        <f>IF(E569=$O$43,($D569/50-$T$43*$P$9)/$P$9,"")</f>
        <v/>
      </c>
      <c r="L569" s="25" t="str">
        <f>IFERROR(($D569/50-_xlfn.XLOOKUP($H569,$O$48:$O$62,$T$48:$T$62)*$P$14)/$P$9,"")</f>
        <v/>
      </c>
      <c r="M569" s="14">
        <f t="shared" si="8"/>
        <v>0</v>
      </c>
    </row>
    <row r="570" spans="2:13" x14ac:dyDescent="0.25">
      <c r="B570" s="10" t="str">
        <f>IF('Importér data'!C581="type",'Importér data'!F581,"")</f>
        <v/>
      </c>
      <c r="C570" s="10">
        <f>'Importér data'!H581</f>
        <v>0</v>
      </c>
      <c r="D570" s="32" t="str">
        <f>IF('Importér data'!C581="type",'Importér data'!N581,"")</f>
        <v/>
      </c>
      <c r="E570" s="24"/>
      <c r="F570" s="45"/>
      <c r="G570" s="45"/>
      <c r="H570" s="24"/>
      <c r="I570" s="25" t="str">
        <f>IFERROR(($D570/50-_xlfn.XLOOKUP($E570,$O$35:$O$43,$T$35:$T$43)*F570)/$P$9,"")</f>
        <v/>
      </c>
      <c r="J570" s="25" t="str">
        <f>IFERROR(_xlfn.XLOOKUP($E570,$O$35:$O$43,$T$35:$T$43)*G570/$P$9,"")</f>
        <v/>
      </c>
      <c r="K570" s="25" t="str">
        <f>IF(E570=$O$43,($D570/50-$T$43*$P$9)/$P$9,"")</f>
        <v/>
      </c>
      <c r="L570" s="25" t="str">
        <f>IFERROR(($D570/50-_xlfn.XLOOKUP($H570,$O$48:$O$62,$T$48:$T$62)*$P$14)/$P$9,"")</f>
        <v/>
      </c>
      <c r="M570" s="14">
        <f t="shared" si="8"/>
        <v>0</v>
      </c>
    </row>
    <row r="571" spans="2:13" x14ac:dyDescent="0.25">
      <c r="B571" s="10" t="str">
        <f>IF('Importér data'!C582="type",'Importér data'!F582,"")</f>
        <v/>
      </c>
      <c r="C571" s="10">
        <f>'Importér data'!H582</f>
        <v>0</v>
      </c>
      <c r="D571" s="32" t="str">
        <f>IF('Importér data'!C582="type",'Importér data'!N582,"")</f>
        <v/>
      </c>
      <c r="E571" s="24"/>
      <c r="F571" s="45"/>
      <c r="G571" s="45"/>
      <c r="H571" s="24"/>
      <c r="I571" s="25" t="str">
        <f>IFERROR(($D571/50-_xlfn.XLOOKUP($E571,$O$35:$O$43,$T$35:$T$43)*F571)/$P$9,"")</f>
        <v/>
      </c>
      <c r="J571" s="25" t="str">
        <f>IFERROR(_xlfn.XLOOKUP($E571,$O$35:$O$43,$T$35:$T$43)*G571/$P$9,"")</f>
        <v/>
      </c>
      <c r="K571" s="25" t="str">
        <f>IF(E571=$O$43,($D571/50-$T$43*$P$9)/$P$9,"")</f>
        <v/>
      </c>
      <c r="L571" s="25" t="str">
        <f>IFERROR(($D571/50-_xlfn.XLOOKUP($H571,$O$48:$O$62,$T$48:$T$62)*$P$14)/$P$9,"")</f>
        <v/>
      </c>
      <c r="M571" s="14">
        <f t="shared" si="8"/>
        <v>0</v>
      </c>
    </row>
    <row r="572" spans="2:13" x14ac:dyDescent="0.25">
      <c r="B572" s="10" t="str">
        <f>IF('Importér data'!C583="type",'Importér data'!F583,"")</f>
        <v/>
      </c>
      <c r="C572" s="10">
        <f>'Importér data'!H583</f>
        <v>0</v>
      </c>
      <c r="D572" s="32" t="str">
        <f>IF('Importér data'!C583="type",'Importér data'!N583,"")</f>
        <v/>
      </c>
      <c r="E572" s="24"/>
      <c r="F572" s="45"/>
      <c r="G572" s="45"/>
      <c r="H572" s="24"/>
      <c r="I572" s="25" t="str">
        <f>IFERROR(($D572/50-_xlfn.XLOOKUP($E572,$O$35:$O$43,$T$35:$T$43)*F572)/$P$9,"")</f>
        <v/>
      </c>
      <c r="J572" s="25" t="str">
        <f>IFERROR(_xlfn.XLOOKUP($E572,$O$35:$O$43,$T$35:$T$43)*G572/$P$9,"")</f>
        <v/>
      </c>
      <c r="K572" s="25" t="str">
        <f>IF(E572=$O$43,($D572/50-$T$43*$P$9)/$P$9,"")</f>
        <v/>
      </c>
      <c r="L572" s="25" t="str">
        <f>IFERROR(($D572/50-_xlfn.XLOOKUP($H572,$O$48:$O$62,$T$48:$T$62)*$P$14)/$P$9,"")</f>
        <v/>
      </c>
      <c r="M572" s="14">
        <f t="shared" si="8"/>
        <v>0</v>
      </c>
    </row>
    <row r="573" spans="2:13" x14ac:dyDescent="0.25">
      <c r="B573" s="10" t="str">
        <f>IF('Importér data'!C584="type",'Importér data'!F584,"")</f>
        <v/>
      </c>
      <c r="C573" s="10">
        <f>'Importér data'!H584</f>
        <v>0</v>
      </c>
      <c r="D573" s="32" t="str">
        <f>IF('Importér data'!C584="type",'Importér data'!N584,"")</f>
        <v/>
      </c>
      <c r="E573" s="24"/>
      <c r="F573" s="45"/>
      <c r="G573" s="45"/>
      <c r="H573" s="24"/>
      <c r="I573" s="25" t="str">
        <f>IFERROR(($D573/50-_xlfn.XLOOKUP($E573,$O$35:$O$43,$T$35:$T$43)*F573)/$P$9,"")</f>
        <v/>
      </c>
      <c r="J573" s="25" t="str">
        <f>IFERROR(_xlfn.XLOOKUP($E573,$O$35:$O$43,$T$35:$T$43)*G573/$P$9,"")</f>
        <v/>
      </c>
      <c r="K573" s="25" t="str">
        <f>IF(E573=$O$43,($D573/50-$T$43*$P$9)/$P$9,"")</f>
        <v/>
      </c>
      <c r="L573" s="25" t="str">
        <f>IFERROR(($D573/50-_xlfn.XLOOKUP($H573,$O$48:$O$62,$T$48:$T$62)*$P$14)/$P$9,"")</f>
        <v/>
      </c>
      <c r="M573" s="14">
        <f t="shared" si="8"/>
        <v>0</v>
      </c>
    </row>
    <row r="574" spans="2:13" x14ac:dyDescent="0.25">
      <c r="B574" s="10" t="str">
        <f>IF('Importér data'!C585="type",'Importér data'!F585,"")</f>
        <v/>
      </c>
      <c r="C574" s="10">
        <f>'Importér data'!H585</f>
        <v>0</v>
      </c>
      <c r="D574" s="32" t="str">
        <f>IF('Importér data'!C585="type",'Importér data'!N585,"")</f>
        <v/>
      </c>
      <c r="E574" s="24"/>
      <c r="F574" s="45"/>
      <c r="G574" s="45"/>
      <c r="H574" s="24"/>
      <c r="I574" s="25" t="str">
        <f>IFERROR(($D574/50-_xlfn.XLOOKUP($E574,$O$35:$O$43,$T$35:$T$43)*F574)/$P$9,"")</f>
        <v/>
      </c>
      <c r="J574" s="25" t="str">
        <f>IFERROR(_xlfn.XLOOKUP($E574,$O$35:$O$43,$T$35:$T$43)*G574/$P$9,"")</f>
        <v/>
      </c>
      <c r="K574" s="25" t="str">
        <f>IF(E574=$O$43,($D574/50-$T$43*$P$9)/$P$9,"")</f>
        <v/>
      </c>
      <c r="L574" s="25" t="str">
        <f>IFERROR(($D574/50-_xlfn.XLOOKUP($H574,$O$48:$O$62,$T$48:$T$62)*$P$14)/$P$9,"")</f>
        <v/>
      </c>
      <c r="M574" s="14">
        <f t="shared" si="8"/>
        <v>0</v>
      </c>
    </row>
    <row r="575" spans="2:13" x14ac:dyDescent="0.25">
      <c r="B575" s="10" t="str">
        <f>IF('Importér data'!C586="type",'Importér data'!F586,"")</f>
        <v/>
      </c>
      <c r="C575" s="10">
        <f>'Importér data'!H586</f>
        <v>0</v>
      </c>
      <c r="D575" s="32" t="str">
        <f>IF('Importér data'!C586="type",'Importér data'!N586,"")</f>
        <v/>
      </c>
      <c r="E575" s="24"/>
      <c r="F575" s="45"/>
      <c r="G575" s="45"/>
      <c r="H575" s="24"/>
      <c r="I575" s="25" t="str">
        <f>IFERROR(($D575/50-_xlfn.XLOOKUP($E575,$O$35:$O$43,$T$35:$T$43)*F575)/$P$9,"")</f>
        <v/>
      </c>
      <c r="J575" s="25" t="str">
        <f>IFERROR(_xlfn.XLOOKUP($E575,$O$35:$O$43,$T$35:$T$43)*G575/$P$9,"")</f>
        <v/>
      </c>
      <c r="K575" s="25" t="str">
        <f>IF(E575=$O$43,($D575/50-$T$43*$P$9)/$P$9,"")</f>
        <v/>
      </c>
      <c r="L575" s="25" t="str">
        <f>IFERROR(($D575/50-_xlfn.XLOOKUP($H575,$O$48:$O$62,$T$48:$T$62)*$P$14)/$P$9,"")</f>
        <v/>
      </c>
      <c r="M575" s="14">
        <f t="shared" si="8"/>
        <v>0</v>
      </c>
    </row>
    <row r="576" spans="2:13" x14ac:dyDescent="0.25">
      <c r="B576" s="10" t="str">
        <f>IF('Importér data'!C587="type",'Importér data'!F587,"")</f>
        <v/>
      </c>
      <c r="C576" s="10">
        <f>'Importér data'!H587</f>
        <v>0</v>
      </c>
      <c r="D576" s="32" t="str">
        <f>IF('Importér data'!C587="type",'Importér data'!N587,"")</f>
        <v/>
      </c>
      <c r="E576" s="24"/>
      <c r="F576" s="45"/>
      <c r="G576" s="45"/>
      <c r="H576" s="24"/>
      <c r="I576" s="25" t="str">
        <f>IFERROR(($D576/50-_xlfn.XLOOKUP($E576,$O$35:$O$43,$T$35:$T$43)*F576)/$P$9,"")</f>
        <v/>
      </c>
      <c r="J576" s="25" t="str">
        <f>IFERROR(_xlfn.XLOOKUP($E576,$O$35:$O$43,$T$35:$T$43)*G576/$P$9,"")</f>
        <v/>
      </c>
      <c r="K576" s="25" t="str">
        <f>IF(E576=$O$43,($D576/50-$T$43*$P$9)/$P$9,"")</f>
        <v/>
      </c>
      <c r="L576" s="25" t="str">
        <f>IFERROR(($D576/50-_xlfn.XLOOKUP($H576,$O$48:$O$62,$T$48:$T$62)*$P$14)/$P$9,"")</f>
        <v/>
      </c>
      <c r="M576" s="14">
        <f t="shared" si="8"/>
        <v>0</v>
      </c>
    </row>
    <row r="577" spans="2:13" x14ac:dyDescent="0.25">
      <c r="B577" s="10" t="str">
        <f>IF('Importér data'!C588="type",'Importér data'!F588,"")</f>
        <v/>
      </c>
      <c r="C577" s="10">
        <f>'Importér data'!H588</f>
        <v>0</v>
      </c>
      <c r="D577" s="32" t="str">
        <f>IF('Importér data'!C588="type",'Importér data'!N588,"")</f>
        <v/>
      </c>
      <c r="E577" s="24"/>
      <c r="F577" s="45"/>
      <c r="G577" s="45"/>
      <c r="H577" s="24"/>
      <c r="I577" s="25" t="str">
        <f>IFERROR(($D577/50-_xlfn.XLOOKUP($E577,$O$35:$O$43,$T$35:$T$43)*F577)/$P$9,"")</f>
        <v/>
      </c>
      <c r="J577" s="25" t="str">
        <f>IFERROR(_xlfn.XLOOKUP($E577,$O$35:$O$43,$T$35:$T$43)*G577/$P$9,"")</f>
        <v/>
      </c>
      <c r="K577" s="25" t="str">
        <f>IF(E577=$O$43,($D577/50-$T$43*$P$9)/$P$9,"")</f>
        <v/>
      </c>
      <c r="L577" s="25" t="str">
        <f>IFERROR(($D577/50-_xlfn.XLOOKUP($H577,$O$48:$O$62,$T$48:$T$62)*$P$14)/$P$9,"")</f>
        <v/>
      </c>
      <c r="M577" s="14">
        <f t="shared" si="8"/>
        <v>0</v>
      </c>
    </row>
    <row r="578" spans="2:13" x14ac:dyDescent="0.25">
      <c r="B578" s="10" t="str">
        <f>IF('Importér data'!C589="type",'Importér data'!F589,"")</f>
        <v/>
      </c>
      <c r="C578" s="10">
        <f>'Importér data'!H589</f>
        <v>0</v>
      </c>
      <c r="D578" s="32" t="str">
        <f>IF('Importér data'!C589="type",'Importér data'!N589,"")</f>
        <v/>
      </c>
      <c r="E578" s="24"/>
      <c r="F578" s="45"/>
      <c r="G578" s="45"/>
      <c r="H578" s="24"/>
      <c r="I578" s="25" t="str">
        <f>IFERROR(($D578/50-_xlfn.XLOOKUP($E578,$O$35:$O$43,$T$35:$T$43)*F578)/$P$9,"")</f>
        <v/>
      </c>
      <c r="J578" s="25" t="str">
        <f>IFERROR(_xlfn.XLOOKUP($E578,$O$35:$O$43,$T$35:$T$43)*G578/$P$9,"")</f>
        <v/>
      </c>
      <c r="K578" s="25" t="str">
        <f>IF(E578=$O$43,($D578/50-$T$43*$P$9)/$P$9,"")</f>
        <v/>
      </c>
      <c r="L578" s="25" t="str">
        <f>IFERROR(($D578/50-_xlfn.XLOOKUP($H578,$O$48:$O$62,$T$48:$T$62)*$P$14)/$P$9,"")</f>
        <v/>
      </c>
      <c r="M578" s="14">
        <f t="shared" si="8"/>
        <v>0</v>
      </c>
    </row>
    <row r="579" spans="2:13" x14ac:dyDescent="0.25">
      <c r="B579" s="10" t="str">
        <f>IF('Importér data'!C590="type",'Importér data'!F590,"")</f>
        <v/>
      </c>
      <c r="C579" s="10">
        <f>'Importér data'!H590</f>
        <v>0</v>
      </c>
      <c r="D579" s="32" t="str">
        <f>IF('Importér data'!C590="type",'Importér data'!N590,"")</f>
        <v/>
      </c>
      <c r="E579" s="24"/>
      <c r="F579" s="45"/>
      <c r="G579" s="45"/>
      <c r="H579" s="24"/>
      <c r="I579" s="25" t="str">
        <f>IFERROR(($D579/50-_xlfn.XLOOKUP($E579,$O$35:$O$43,$T$35:$T$43)*F579)/$P$9,"")</f>
        <v/>
      </c>
      <c r="J579" s="25" t="str">
        <f>IFERROR(_xlfn.XLOOKUP($E579,$O$35:$O$43,$T$35:$T$43)*G579/$P$9,"")</f>
        <v/>
      </c>
      <c r="K579" s="25" t="str">
        <f>IF(E579=$O$43,($D579/50-$T$43*$P$9)/$P$9,"")</f>
        <v/>
      </c>
      <c r="L579" s="25" t="str">
        <f>IFERROR(($D579/50-_xlfn.XLOOKUP($H579,$O$48:$O$62,$T$48:$T$62)*$P$14)/$P$9,"")</f>
        <v/>
      </c>
      <c r="M579" s="14">
        <f t="shared" si="8"/>
        <v>0</v>
      </c>
    </row>
    <row r="580" spans="2:13" x14ac:dyDescent="0.25">
      <c r="B580" s="10" t="str">
        <f>IF('Importér data'!C591="type",'Importér data'!F591,"")</f>
        <v/>
      </c>
      <c r="C580" s="10">
        <f>'Importér data'!H591</f>
        <v>0</v>
      </c>
      <c r="D580" s="32" t="str">
        <f>IF('Importér data'!C591="type",'Importér data'!N591,"")</f>
        <v/>
      </c>
      <c r="E580" s="24"/>
      <c r="F580" s="45"/>
      <c r="G580" s="45"/>
      <c r="H580" s="24"/>
      <c r="I580" s="25" t="str">
        <f>IFERROR(($D580/50-_xlfn.XLOOKUP($E580,$O$35:$O$43,$T$35:$T$43)*F580)/$P$9,"")</f>
        <v/>
      </c>
      <c r="J580" s="25" t="str">
        <f>IFERROR(_xlfn.XLOOKUP($E580,$O$35:$O$43,$T$35:$T$43)*G580/$P$9,"")</f>
        <v/>
      </c>
      <c r="K580" s="25" t="str">
        <f>IF(E580=$O$43,($D580/50-$T$43*$P$9)/$P$9,"")</f>
        <v/>
      </c>
      <c r="L580" s="25" t="str">
        <f>IFERROR(($D580/50-_xlfn.XLOOKUP($H580,$O$48:$O$62,$T$48:$T$62)*$P$14)/$P$9,"")</f>
        <v/>
      </c>
      <c r="M580" s="14">
        <f t="shared" si="8"/>
        <v>0</v>
      </c>
    </row>
    <row r="581" spans="2:13" x14ac:dyDescent="0.25">
      <c r="B581" s="10" t="str">
        <f>IF('Importér data'!C592="type",'Importér data'!F592,"")</f>
        <v/>
      </c>
      <c r="C581" s="10">
        <f>'Importér data'!H592</f>
        <v>0</v>
      </c>
      <c r="D581" s="32" t="str">
        <f>IF('Importér data'!C592="type",'Importér data'!N592,"")</f>
        <v/>
      </c>
      <c r="E581" s="24"/>
      <c r="F581" s="45"/>
      <c r="G581" s="45"/>
      <c r="H581" s="24"/>
      <c r="I581" s="25" t="str">
        <f>IFERROR(($D581/50-_xlfn.XLOOKUP($E581,$O$35:$O$43,$T$35:$T$43)*F581)/$P$9,"")</f>
        <v/>
      </c>
      <c r="J581" s="25" t="str">
        <f>IFERROR(_xlfn.XLOOKUP($E581,$O$35:$O$43,$T$35:$T$43)*G581/$P$9,"")</f>
        <v/>
      </c>
      <c r="K581" s="25" t="str">
        <f>IF(E581=$O$43,($D581/50-$T$43*$P$9)/$P$9,"")</f>
        <v/>
      </c>
      <c r="L581" s="25" t="str">
        <f>IFERROR(($D581/50-_xlfn.XLOOKUP($H581,$O$48:$O$62,$T$48:$T$62)*$P$14)/$P$9,"")</f>
        <v/>
      </c>
      <c r="M581" s="14">
        <f t="shared" si="8"/>
        <v>0</v>
      </c>
    </row>
    <row r="582" spans="2:13" x14ac:dyDescent="0.25">
      <c r="B582" s="10" t="str">
        <f>IF('Importér data'!C593="type",'Importér data'!F593,"")</f>
        <v/>
      </c>
      <c r="C582" s="10">
        <f>'Importér data'!H593</f>
        <v>0</v>
      </c>
      <c r="D582" s="32" t="str">
        <f>IF('Importér data'!C593="type",'Importér data'!N593,"")</f>
        <v/>
      </c>
      <c r="E582" s="24"/>
      <c r="F582" s="45"/>
      <c r="G582" s="45"/>
      <c r="H582" s="24"/>
      <c r="I582" s="25" t="str">
        <f>IFERROR(($D582/50-_xlfn.XLOOKUP($E582,$O$35:$O$43,$T$35:$T$43)*F582)/$P$9,"")</f>
        <v/>
      </c>
      <c r="J582" s="25" t="str">
        <f>IFERROR(_xlfn.XLOOKUP($E582,$O$35:$O$43,$T$35:$T$43)*G582/$P$9,"")</f>
        <v/>
      </c>
      <c r="K582" s="25" t="str">
        <f>IF(E582=$O$43,($D582/50-$T$43*$P$9)/$P$9,"")</f>
        <v/>
      </c>
      <c r="L582" s="25" t="str">
        <f>IFERROR(($D582/50-_xlfn.XLOOKUP($H582,$O$48:$O$62,$T$48:$T$62)*$P$14)/$P$9,"")</f>
        <v/>
      </c>
      <c r="M582" s="14">
        <f t="shared" ref="M582:M645" si="9">SUM(I582:L582)</f>
        <v>0</v>
      </c>
    </row>
    <row r="583" spans="2:13" x14ac:dyDescent="0.25">
      <c r="B583" s="10" t="str">
        <f>IF('Importér data'!C594="type",'Importér data'!F594,"")</f>
        <v/>
      </c>
      <c r="C583" s="10">
        <f>'Importér data'!H594</f>
        <v>0</v>
      </c>
      <c r="D583" s="32" t="str">
        <f>IF('Importér data'!C594="type",'Importér data'!N594,"")</f>
        <v/>
      </c>
      <c r="E583" s="24"/>
      <c r="F583" s="45"/>
      <c r="G583" s="45"/>
      <c r="H583" s="24"/>
      <c r="I583" s="25" t="str">
        <f>IFERROR(($D583/50-_xlfn.XLOOKUP($E583,$O$35:$O$43,$T$35:$T$43)*F583)/$P$9,"")</f>
        <v/>
      </c>
      <c r="J583" s="25" t="str">
        <f>IFERROR(_xlfn.XLOOKUP($E583,$O$35:$O$43,$T$35:$T$43)*G583/$P$9,"")</f>
        <v/>
      </c>
      <c r="K583" s="25" t="str">
        <f>IF(E583=$O$43,($D583/50-$T$43*$P$9)/$P$9,"")</f>
        <v/>
      </c>
      <c r="L583" s="25" t="str">
        <f>IFERROR(($D583/50-_xlfn.XLOOKUP($H583,$O$48:$O$62,$T$48:$T$62)*$P$14)/$P$9,"")</f>
        <v/>
      </c>
      <c r="M583" s="14">
        <f t="shared" si="9"/>
        <v>0</v>
      </c>
    </row>
    <row r="584" spans="2:13" x14ac:dyDescent="0.25">
      <c r="B584" s="10" t="str">
        <f>IF('Importér data'!C595="type",'Importér data'!F595,"")</f>
        <v/>
      </c>
      <c r="C584" s="10">
        <f>'Importér data'!H595</f>
        <v>0</v>
      </c>
      <c r="D584" s="32" t="str">
        <f>IF('Importér data'!C595="type",'Importér data'!N595,"")</f>
        <v/>
      </c>
      <c r="E584" s="24"/>
      <c r="F584" s="45"/>
      <c r="G584" s="45"/>
      <c r="H584" s="24"/>
      <c r="I584" s="25" t="str">
        <f>IFERROR(($D584/50-_xlfn.XLOOKUP($E584,$O$35:$O$43,$T$35:$T$43)*F584)/$P$9,"")</f>
        <v/>
      </c>
      <c r="J584" s="25" t="str">
        <f>IFERROR(_xlfn.XLOOKUP($E584,$O$35:$O$43,$T$35:$T$43)*G584/$P$9,"")</f>
        <v/>
      </c>
      <c r="K584" s="25" t="str">
        <f>IF(E584=$O$43,($D584/50-$T$43*$P$9)/$P$9,"")</f>
        <v/>
      </c>
      <c r="L584" s="25" t="str">
        <f>IFERROR(($D584/50-_xlfn.XLOOKUP($H584,$O$48:$O$62,$T$48:$T$62)*$P$14)/$P$9,"")</f>
        <v/>
      </c>
      <c r="M584" s="14">
        <f t="shared" si="9"/>
        <v>0</v>
      </c>
    </row>
    <row r="585" spans="2:13" x14ac:dyDescent="0.25">
      <c r="B585" s="10" t="str">
        <f>IF('Importér data'!C596="type",'Importér data'!F596,"")</f>
        <v/>
      </c>
      <c r="C585" s="10">
        <f>'Importér data'!H596</f>
        <v>0</v>
      </c>
      <c r="D585" s="32" t="str">
        <f>IF('Importér data'!C596="type",'Importér data'!N596,"")</f>
        <v/>
      </c>
      <c r="E585" s="24"/>
      <c r="F585" s="45"/>
      <c r="G585" s="45"/>
      <c r="H585" s="24"/>
      <c r="I585" s="25" t="str">
        <f>IFERROR(($D585/50-_xlfn.XLOOKUP($E585,$O$35:$O$43,$T$35:$T$43)*F585)/$P$9,"")</f>
        <v/>
      </c>
      <c r="J585" s="25" t="str">
        <f>IFERROR(_xlfn.XLOOKUP($E585,$O$35:$O$43,$T$35:$T$43)*G585/$P$9,"")</f>
        <v/>
      </c>
      <c r="K585" s="25" t="str">
        <f>IF(E585=$O$43,($D585/50-$T$43*$P$9)/$P$9,"")</f>
        <v/>
      </c>
      <c r="L585" s="25" t="str">
        <f>IFERROR(($D585/50-_xlfn.XLOOKUP($H585,$O$48:$O$62,$T$48:$T$62)*$P$14)/$P$9,"")</f>
        <v/>
      </c>
      <c r="M585" s="14">
        <f t="shared" si="9"/>
        <v>0</v>
      </c>
    </row>
    <row r="586" spans="2:13" x14ac:dyDescent="0.25">
      <c r="B586" s="10" t="str">
        <f>IF('Importér data'!C597="type",'Importér data'!F597,"")</f>
        <v/>
      </c>
      <c r="C586" s="10">
        <f>'Importér data'!H597</f>
        <v>0</v>
      </c>
      <c r="D586" s="32" t="str">
        <f>IF('Importér data'!C597="type",'Importér data'!N597,"")</f>
        <v/>
      </c>
      <c r="E586" s="24"/>
      <c r="F586" s="45"/>
      <c r="G586" s="45"/>
      <c r="H586" s="24"/>
      <c r="I586" s="25" t="str">
        <f>IFERROR(($D586/50-_xlfn.XLOOKUP($E586,$O$35:$O$43,$T$35:$T$43)*F586)/$P$9,"")</f>
        <v/>
      </c>
      <c r="J586" s="25" t="str">
        <f>IFERROR(_xlfn.XLOOKUP($E586,$O$35:$O$43,$T$35:$T$43)*G586/$P$9,"")</f>
        <v/>
      </c>
      <c r="K586" s="25" t="str">
        <f>IF(E586=$O$43,($D586/50-$T$43*$P$9)/$P$9,"")</f>
        <v/>
      </c>
      <c r="L586" s="25" t="str">
        <f>IFERROR(($D586/50-_xlfn.XLOOKUP($H586,$O$48:$O$62,$T$48:$T$62)*$P$14)/$P$9,"")</f>
        <v/>
      </c>
      <c r="M586" s="14">
        <f t="shared" si="9"/>
        <v>0</v>
      </c>
    </row>
    <row r="587" spans="2:13" x14ac:dyDescent="0.25">
      <c r="B587" s="10" t="str">
        <f>IF('Importér data'!C598="type",'Importér data'!F598,"")</f>
        <v/>
      </c>
      <c r="C587" s="10">
        <f>'Importér data'!H598</f>
        <v>0</v>
      </c>
      <c r="D587" s="32" t="str">
        <f>IF('Importér data'!C598="type",'Importér data'!N598,"")</f>
        <v/>
      </c>
      <c r="E587" s="24"/>
      <c r="F587" s="45"/>
      <c r="G587" s="45"/>
      <c r="H587" s="24"/>
      <c r="I587" s="25" t="str">
        <f>IFERROR(($D587/50-_xlfn.XLOOKUP($E587,$O$35:$O$43,$T$35:$T$43)*F587)/$P$9,"")</f>
        <v/>
      </c>
      <c r="J587" s="25" t="str">
        <f>IFERROR(_xlfn.XLOOKUP($E587,$O$35:$O$43,$T$35:$T$43)*G587/$P$9,"")</f>
        <v/>
      </c>
      <c r="K587" s="25" t="str">
        <f>IF(E587=$O$43,($D587/50-$T$43*$P$9)/$P$9,"")</f>
        <v/>
      </c>
      <c r="L587" s="25" t="str">
        <f>IFERROR(($D587/50-_xlfn.XLOOKUP($H587,$O$48:$O$62,$T$48:$T$62)*$P$14)/$P$9,"")</f>
        <v/>
      </c>
      <c r="M587" s="14">
        <f t="shared" si="9"/>
        <v>0</v>
      </c>
    </row>
    <row r="588" spans="2:13" x14ac:dyDescent="0.25">
      <c r="B588" s="10" t="str">
        <f>IF('Importér data'!C599="type",'Importér data'!F599,"")</f>
        <v/>
      </c>
      <c r="C588" s="10">
        <f>'Importér data'!H599</f>
        <v>0</v>
      </c>
      <c r="D588" s="32" t="str">
        <f>IF('Importér data'!C599="type",'Importér data'!N599,"")</f>
        <v/>
      </c>
      <c r="E588" s="24"/>
      <c r="F588" s="45"/>
      <c r="G588" s="45"/>
      <c r="H588" s="24"/>
      <c r="I588" s="25" t="str">
        <f>IFERROR(($D588/50-_xlfn.XLOOKUP($E588,$O$35:$O$43,$T$35:$T$43)*F588)/$P$9,"")</f>
        <v/>
      </c>
      <c r="J588" s="25" t="str">
        <f>IFERROR(_xlfn.XLOOKUP($E588,$O$35:$O$43,$T$35:$T$43)*G588/$P$9,"")</f>
        <v/>
      </c>
      <c r="K588" s="25" t="str">
        <f>IF(E588=$O$43,($D588/50-$T$43*$P$9)/$P$9,"")</f>
        <v/>
      </c>
      <c r="L588" s="25" t="str">
        <f>IFERROR(($D588/50-_xlfn.XLOOKUP($H588,$O$48:$O$62,$T$48:$T$62)*$P$14)/$P$9,"")</f>
        <v/>
      </c>
      <c r="M588" s="14">
        <f t="shared" si="9"/>
        <v>0</v>
      </c>
    </row>
    <row r="589" spans="2:13" x14ac:dyDescent="0.25">
      <c r="B589" s="10" t="str">
        <f>IF('Importér data'!C600="type",'Importér data'!F600,"")</f>
        <v/>
      </c>
      <c r="C589" s="10">
        <f>'Importér data'!H600</f>
        <v>0</v>
      </c>
      <c r="D589" s="32" t="str">
        <f>IF('Importér data'!C600="type",'Importér data'!N600,"")</f>
        <v/>
      </c>
      <c r="E589" s="24"/>
      <c r="F589" s="45"/>
      <c r="G589" s="45"/>
      <c r="H589" s="24"/>
      <c r="I589" s="25" t="str">
        <f>IFERROR(($D589/50-_xlfn.XLOOKUP($E589,$O$35:$O$43,$T$35:$T$43)*F589)/$P$9,"")</f>
        <v/>
      </c>
      <c r="J589" s="25" t="str">
        <f>IFERROR(_xlfn.XLOOKUP($E589,$O$35:$O$43,$T$35:$T$43)*G589/$P$9,"")</f>
        <v/>
      </c>
      <c r="K589" s="25" t="str">
        <f>IF(E589=$O$43,($D589/50-$T$43*$P$9)/$P$9,"")</f>
        <v/>
      </c>
      <c r="L589" s="25" t="str">
        <f>IFERROR(($D589/50-_xlfn.XLOOKUP($H589,$O$48:$O$62,$T$48:$T$62)*$P$14)/$P$9,"")</f>
        <v/>
      </c>
      <c r="M589" s="14">
        <f t="shared" si="9"/>
        <v>0</v>
      </c>
    </row>
    <row r="590" spans="2:13" x14ac:dyDescent="0.25">
      <c r="B590" s="10" t="str">
        <f>IF('Importér data'!C601="type",'Importér data'!F601,"")</f>
        <v/>
      </c>
      <c r="C590" s="10">
        <f>'Importér data'!H601</f>
        <v>0</v>
      </c>
      <c r="D590" s="32" t="str">
        <f>IF('Importér data'!C601="type",'Importér data'!N601,"")</f>
        <v/>
      </c>
      <c r="E590" s="24"/>
      <c r="F590" s="45"/>
      <c r="G590" s="45"/>
      <c r="H590" s="24"/>
      <c r="I590" s="25" t="str">
        <f>IFERROR(($D590/50-_xlfn.XLOOKUP($E590,$O$35:$O$43,$T$35:$T$43)*F590)/$P$9,"")</f>
        <v/>
      </c>
      <c r="J590" s="25" t="str">
        <f>IFERROR(_xlfn.XLOOKUP($E590,$O$35:$O$43,$T$35:$T$43)*G590/$P$9,"")</f>
        <v/>
      </c>
      <c r="K590" s="25" t="str">
        <f>IF(E590=$O$43,($D590/50-$T$43*$P$9)/$P$9,"")</f>
        <v/>
      </c>
      <c r="L590" s="25" t="str">
        <f>IFERROR(($D590/50-_xlfn.XLOOKUP($H590,$O$48:$O$62,$T$48:$T$62)*$P$14)/$P$9,"")</f>
        <v/>
      </c>
      <c r="M590" s="14">
        <f t="shared" si="9"/>
        <v>0</v>
      </c>
    </row>
    <row r="591" spans="2:13" x14ac:dyDescent="0.25">
      <c r="B591" s="10" t="str">
        <f>IF('Importér data'!C602="type",'Importér data'!F602,"")</f>
        <v/>
      </c>
      <c r="C591" s="10">
        <f>'Importér data'!H602</f>
        <v>0</v>
      </c>
      <c r="D591" s="32" t="str">
        <f>IF('Importér data'!C602="type",'Importér data'!N602,"")</f>
        <v/>
      </c>
      <c r="E591" s="24"/>
      <c r="F591" s="45"/>
      <c r="G591" s="45"/>
      <c r="H591" s="24"/>
      <c r="I591" s="25" t="str">
        <f>IFERROR(($D591/50-_xlfn.XLOOKUP($E591,$O$35:$O$43,$T$35:$T$43)*F591)/$P$9,"")</f>
        <v/>
      </c>
      <c r="J591" s="25" t="str">
        <f>IFERROR(_xlfn.XLOOKUP($E591,$O$35:$O$43,$T$35:$T$43)*G591/$P$9,"")</f>
        <v/>
      </c>
      <c r="K591" s="25" t="str">
        <f>IF(E591=$O$43,($D591/50-$T$43*$P$9)/$P$9,"")</f>
        <v/>
      </c>
      <c r="L591" s="25" t="str">
        <f>IFERROR(($D591/50-_xlfn.XLOOKUP($H591,$O$48:$O$62,$T$48:$T$62)*$P$14)/$P$9,"")</f>
        <v/>
      </c>
      <c r="M591" s="14">
        <f t="shared" si="9"/>
        <v>0</v>
      </c>
    </row>
    <row r="592" spans="2:13" x14ac:dyDescent="0.25">
      <c r="B592" s="10" t="str">
        <f>IF('Importér data'!C603="type",'Importér data'!F603,"")</f>
        <v/>
      </c>
      <c r="C592" s="10">
        <f>'Importér data'!H603</f>
        <v>0</v>
      </c>
      <c r="D592" s="32" t="str">
        <f>IF('Importér data'!C603="type",'Importér data'!N603,"")</f>
        <v/>
      </c>
      <c r="E592" s="24"/>
      <c r="F592" s="45"/>
      <c r="G592" s="45"/>
      <c r="H592" s="24"/>
      <c r="I592" s="25" t="str">
        <f>IFERROR(($D592/50-_xlfn.XLOOKUP($E592,$O$35:$O$43,$T$35:$T$43)*F592)/$P$9,"")</f>
        <v/>
      </c>
      <c r="J592" s="25" t="str">
        <f>IFERROR(_xlfn.XLOOKUP($E592,$O$35:$O$43,$T$35:$T$43)*G592/$P$9,"")</f>
        <v/>
      </c>
      <c r="K592" s="25" t="str">
        <f>IF(E592=$O$43,($D592/50-$T$43*$P$9)/$P$9,"")</f>
        <v/>
      </c>
      <c r="L592" s="25" t="str">
        <f>IFERROR(($D592/50-_xlfn.XLOOKUP($H592,$O$48:$O$62,$T$48:$T$62)*$P$14)/$P$9,"")</f>
        <v/>
      </c>
      <c r="M592" s="14">
        <f t="shared" si="9"/>
        <v>0</v>
      </c>
    </row>
    <row r="593" spans="2:13" x14ac:dyDescent="0.25">
      <c r="B593" s="10" t="str">
        <f>IF('Importér data'!C604="type",'Importér data'!F604,"")</f>
        <v/>
      </c>
      <c r="C593" s="10">
        <f>'Importér data'!H604</f>
        <v>0</v>
      </c>
      <c r="D593" s="32" t="str">
        <f>IF('Importér data'!C604="type",'Importér data'!N604,"")</f>
        <v/>
      </c>
      <c r="E593" s="24"/>
      <c r="F593" s="45"/>
      <c r="G593" s="45"/>
      <c r="H593" s="24"/>
      <c r="I593" s="25" t="str">
        <f>IFERROR(($D593/50-_xlfn.XLOOKUP($E593,$O$35:$O$43,$T$35:$T$43)*F593)/$P$9,"")</f>
        <v/>
      </c>
      <c r="J593" s="25" t="str">
        <f>IFERROR(_xlfn.XLOOKUP($E593,$O$35:$O$43,$T$35:$T$43)*G593/$P$9,"")</f>
        <v/>
      </c>
      <c r="K593" s="25" t="str">
        <f>IF(E593=$O$43,($D593/50-$T$43*$P$9)/$P$9,"")</f>
        <v/>
      </c>
      <c r="L593" s="25" t="str">
        <f>IFERROR(($D593/50-_xlfn.XLOOKUP($H593,$O$48:$O$62,$T$48:$T$62)*$P$14)/$P$9,"")</f>
        <v/>
      </c>
      <c r="M593" s="14">
        <f t="shared" si="9"/>
        <v>0</v>
      </c>
    </row>
    <row r="594" spans="2:13" x14ac:dyDescent="0.25">
      <c r="B594" s="10" t="str">
        <f>IF('Importér data'!C605="type",'Importér data'!F605,"")</f>
        <v/>
      </c>
      <c r="C594" s="10">
        <f>'Importér data'!H605</f>
        <v>0</v>
      </c>
      <c r="D594" s="32" t="str">
        <f>IF('Importér data'!C605="type",'Importér data'!N605,"")</f>
        <v/>
      </c>
      <c r="E594" s="24"/>
      <c r="F594" s="45"/>
      <c r="G594" s="45"/>
      <c r="H594" s="24"/>
      <c r="I594" s="25" t="str">
        <f>IFERROR(($D594/50-_xlfn.XLOOKUP($E594,$O$35:$O$43,$T$35:$T$43)*F594)/$P$9,"")</f>
        <v/>
      </c>
      <c r="J594" s="25" t="str">
        <f>IFERROR(_xlfn.XLOOKUP($E594,$O$35:$O$43,$T$35:$T$43)*G594/$P$9,"")</f>
        <v/>
      </c>
      <c r="K594" s="25" t="str">
        <f>IF(E594=$O$43,($D594/50-$T$43*$P$9)/$P$9,"")</f>
        <v/>
      </c>
      <c r="L594" s="25" t="str">
        <f>IFERROR(($D594/50-_xlfn.XLOOKUP($H594,$O$48:$O$62,$T$48:$T$62)*$P$14)/$P$9,"")</f>
        <v/>
      </c>
      <c r="M594" s="14">
        <f t="shared" si="9"/>
        <v>0</v>
      </c>
    </row>
    <row r="595" spans="2:13" x14ac:dyDescent="0.25">
      <c r="B595" s="10" t="str">
        <f>IF('Importér data'!C606="type",'Importér data'!F606,"")</f>
        <v/>
      </c>
      <c r="C595" s="10">
        <f>'Importér data'!H606</f>
        <v>0</v>
      </c>
      <c r="D595" s="32" t="str">
        <f>IF('Importér data'!C606="type",'Importér data'!N606,"")</f>
        <v/>
      </c>
      <c r="E595" s="24"/>
      <c r="F595" s="45"/>
      <c r="G595" s="45"/>
      <c r="H595" s="24"/>
      <c r="I595" s="25" t="str">
        <f>IFERROR(($D595/50-_xlfn.XLOOKUP($E595,$O$35:$O$43,$T$35:$T$43)*F595)/$P$9,"")</f>
        <v/>
      </c>
      <c r="J595" s="25" t="str">
        <f>IFERROR(_xlfn.XLOOKUP($E595,$O$35:$O$43,$T$35:$T$43)*G595/$P$9,"")</f>
        <v/>
      </c>
      <c r="K595" s="25" t="str">
        <f>IF(E595=$O$43,($D595/50-$T$43*$P$9)/$P$9,"")</f>
        <v/>
      </c>
      <c r="L595" s="25" t="str">
        <f>IFERROR(($D595/50-_xlfn.XLOOKUP($H595,$O$48:$O$62,$T$48:$T$62)*$P$14)/$P$9,"")</f>
        <v/>
      </c>
      <c r="M595" s="14">
        <f t="shared" si="9"/>
        <v>0</v>
      </c>
    </row>
    <row r="596" spans="2:13" x14ac:dyDescent="0.25">
      <c r="B596" s="10" t="str">
        <f>IF('Importér data'!C607="type",'Importér data'!F607,"")</f>
        <v/>
      </c>
      <c r="C596" s="10">
        <f>'Importér data'!H607</f>
        <v>0</v>
      </c>
      <c r="D596" s="32" t="str">
        <f>IF('Importér data'!C607="type",'Importér data'!N607,"")</f>
        <v/>
      </c>
      <c r="E596" s="24"/>
      <c r="F596" s="45"/>
      <c r="G596" s="45"/>
      <c r="H596" s="24"/>
      <c r="I596" s="25" t="str">
        <f>IFERROR(($D596/50-_xlfn.XLOOKUP($E596,$O$35:$O$43,$T$35:$T$43)*F596)/$P$9,"")</f>
        <v/>
      </c>
      <c r="J596" s="25" t="str">
        <f>IFERROR(_xlfn.XLOOKUP($E596,$O$35:$O$43,$T$35:$T$43)*G596/$P$9,"")</f>
        <v/>
      </c>
      <c r="K596" s="25" t="str">
        <f>IF(E596=$O$43,($D596/50-$T$43*$P$9)/$P$9,"")</f>
        <v/>
      </c>
      <c r="L596" s="25" t="str">
        <f>IFERROR(($D596/50-_xlfn.XLOOKUP($H596,$O$48:$O$62,$T$48:$T$62)*$P$14)/$P$9,"")</f>
        <v/>
      </c>
      <c r="M596" s="14">
        <f t="shared" si="9"/>
        <v>0</v>
      </c>
    </row>
    <row r="597" spans="2:13" x14ac:dyDescent="0.25">
      <c r="B597" s="10" t="str">
        <f>IF('Importér data'!C608="type",'Importér data'!F608,"")</f>
        <v/>
      </c>
      <c r="C597" s="10">
        <f>'Importér data'!H608</f>
        <v>0</v>
      </c>
      <c r="D597" s="32" t="str">
        <f>IF('Importér data'!C608="type",'Importér data'!N608,"")</f>
        <v/>
      </c>
      <c r="E597" s="24"/>
      <c r="F597" s="45"/>
      <c r="G597" s="45"/>
      <c r="H597" s="24"/>
      <c r="I597" s="25" t="str">
        <f>IFERROR(($D597/50-_xlfn.XLOOKUP($E597,$O$35:$O$43,$T$35:$T$43)*F597)/$P$9,"")</f>
        <v/>
      </c>
      <c r="J597" s="25" t="str">
        <f>IFERROR(_xlfn.XLOOKUP($E597,$O$35:$O$43,$T$35:$T$43)*G597/$P$9,"")</f>
        <v/>
      </c>
      <c r="K597" s="25" t="str">
        <f>IF(E597=$O$43,($D597/50-$T$43*$P$9)/$P$9,"")</f>
        <v/>
      </c>
      <c r="L597" s="25" t="str">
        <f>IFERROR(($D597/50-_xlfn.XLOOKUP($H597,$O$48:$O$62,$T$48:$T$62)*$P$14)/$P$9,"")</f>
        <v/>
      </c>
      <c r="M597" s="14">
        <f t="shared" si="9"/>
        <v>0</v>
      </c>
    </row>
    <row r="598" spans="2:13" x14ac:dyDescent="0.25">
      <c r="B598" s="10" t="str">
        <f>IF('Importér data'!C609="type",'Importér data'!F609,"")</f>
        <v/>
      </c>
      <c r="C598" s="10">
        <f>'Importér data'!H609</f>
        <v>0</v>
      </c>
      <c r="D598" s="32" t="str">
        <f>IF('Importér data'!C609="type",'Importér data'!N609,"")</f>
        <v/>
      </c>
      <c r="E598" s="24"/>
      <c r="F598" s="45"/>
      <c r="G598" s="45"/>
      <c r="H598" s="24"/>
      <c r="I598" s="25" t="str">
        <f>IFERROR(($D598/50-_xlfn.XLOOKUP($E598,$O$35:$O$43,$T$35:$T$43)*F598)/$P$9,"")</f>
        <v/>
      </c>
      <c r="J598" s="25" t="str">
        <f>IFERROR(_xlfn.XLOOKUP($E598,$O$35:$O$43,$T$35:$T$43)*G598/$P$9,"")</f>
        <v/>
      </c>
      <c r="K598" s="25" t="str">
        <f>IF(E598=$O$43,($D598/50-$T$43*$P$9)/$P$9,"")</f>
        <v/>
      </c>
      <c r="L598" s="25" t="str">
        <f>IFERROR(($D598/50-_xlfn.XLOOKUP($H598,$O$48:$O$62,$T$48:$T$62)*$P$14)/$P$9,"")</f>
        <v/>
      </c>
      <c r="M598" s="14">
        <f t="shared" si="9"/>
        <v>0</v>
      </c>
    </row>
    <row r="599" spans="2:13" x14ac:dyDescent="0.25">
      <c r="B599" s="10" t="str">
        <f>IF('Importér data'!C610="type",'Importér data'!F610,"")</f>
        <v/>
      </c>
      <c r="C599" s="10">
        <f>'Importér data'!H610</f>
        <v>0</v>
      </c>
      <c r="D599" s="32" t="str">
        <f>IF('Importér data'!C610="type",'Importér data'!N610,"")</f>
        <v/>
      </c>
      <c r="E599" s="24"/>
      <c r="F599" s="45"/>
      <c r="G599" s="45"/>
      <c r="H599" s="24"/>
      <c r="I599" s="25" t="str">
        <f>IFERROR(($D599/50-_xlfn.XLOOKUP($E599,$O$35:$O$43,$T$35:$T$43)*F599)/$P$9,"")</f>
        <v/>
      </c>
      <c r="J599" s="25" t="str">
        <f>IFERROR(_xlfn.XLOOKUP($E599,$O$35:$O$43,$T$35:$T$43)*G599/$P$9,"")</f>
        <v/>
      </c>
      <c r="K599" s="25" t="str">
        <f>IF(E599=$O$43,($D599/50-$T$43*$P$9)/$P$9,"")</f>
        <v/>
      </c>
      <c r="L599" s="25" t="str">
        <f>IFERROR(($D599/50-_xlfn.XLOOKUP($H599,$O$48:$O$62,$T$48:$T$62)*$P$14)/$P$9,"")</f>
        <v/>
      </c>
      <c r="M599" s="14">
        <f t="shared" si="9"/>
        <v>0</v>
      </c>
    </row>
    <row r="600" spans="2:13" x14ac:dyDescent="0.25">
      <c r="B600" s="10" t="str">
        <f>IF('Importér data'!C611="type",'Importér data'!F611,"")</f>
        <v/>
      </c>
      <c r="C600" s="10">
        <f>'Importér data'!H611</f>
        <v>0</v>
      </c>
      <c r="D600" s="32" t="str">
        <f>IF('Importér data'!C611="type",'Importér data'!N611,"")</f>
        <v/>
      </c>
      <c r="E600" s="24"/>
      <c r="F600" s="45"/>
      <c r="G600" s="45"/>
      <c r="H600" s="24"/>
      <c r="I600" s="25" t="str">
        <f>IFERROR(($D600/50-_xlfn.XLOOKUP($E600,$O$35:$O$43,$T$35:$T$43)*F600)/$P$9,"")</f>
        <v/>
      </c>
      <c r="J600" s="25" t="str">
        <f>IFERROR(_xlfn.XLOOKUP($E600,$O$35:$O$43,$T$35:$T$43)*G600/$P$9,"")</f>
        <v/>
      </c>
      <c r="K600" s="25" t="str">
        <f>IF(E600=$O$43,($D600/50-$T$43*$P$9)/$P$9,"")</f>
        <v/>
      </c>
      <c r="L600" s="25" t="str">
        <f>IFERROR(($D600/50-_xlfn.XLOOKUP($H600,$O$48:$O$62,$T$48:$T$62)*$P$14)/$P$9,"")</f>
        <v/>
      </c>
      <c r="M600" s="14">
        <f t="shared" si="9"/>
        <v>0</v>
      </c>
    </row>
    <row r="601" spans="2:13" x14ac:dyDescent="0.25">
      <c r="B601" s="10" t="str">
        <f>IF('Importér data'!C612="type",'Importér data'!F612,"")</f>
        <v/>
      </c>
      <c r="C601" s="10">
        <f>'Importér data'!H612</f>
        <v>0</v>
      </c>
      <c r="D601" s="32" t="str">
        <f>IF('Importér data'!C612="type",'Importér data'!N612,"")</f>
        <v/>
      </c>
      <c r="E601" s="24"/>
      <c r="F601" s="45"/>
      <c r="G601" s="45"/>
      <c r="H601" s="24"/>
      <c r="I601" s="25" t="str">
        <f>IFERROR(($D601/50-_xlfn.XLOOKUP($E601,$O$35:$O$43,$T$35:$T$43)*F601)/$P$9,"")</f>
        <v/>
      </c>
      <c r="J601" s="25" t="str">
        <f>IFERROR(_xlfn.XLOOKUP($E601,$O$35:$O$43,$T$35:$T$43)*G601/$P$9,"")</f>
        <v/>
      </c>
      <c r="K601" s="25" t="str">
        <f>IF(E601=$O$43,($D601/50-$T$43*$P$9)/$P$9,"")</f>
        <v/>
      </c>
      <c r="L601" s="25" t="str">
        <f>IFERROR(($D601/50-_xlfn.XLOOKUP($H601,$O$48:$O$62,$T$48:$T$62)*$P$14)/$P$9,"")</f>
        <v/>
      </c>
      <c r="M601" s="14">
        <f t="shared" si="9"/>
        <v>0</v>
      </c>
    </row>
    <row r="602" spans="2:13" x14ac:dyDescent="0.25">
      <c r="B602" s="10" t="str">
        <f>IF('Importér data'!C613="type",'Importér data'!F613,"")</f>
        <v/>
      </c>
      <c r="C602" s="10">
        <f>'Importér data'!H613</f>
        <v>0</v>
      </c>
      <c r="D602" s="32" t="str">
        <f>IF('Importér data'!C613="type",'Importér data'!N613,"")</f>
        <v/>
      </c>
      <c r="E602" s="24"/>
      <c r="F602" s="45"/>
      <c r="G602" s="45"/>
      <c r="H602" s="24"/>
      <c r="I602" s="25" t="str">
        <f>IFERROR(($D602/50-_xlfn.XLOOKUP($E602,$O$35:$O$43,$T$35:$T$43)*F602)/$P$9,"")</f>
        <v/>
      </c>
      <c r="J602" s="25" t="str">
        <f>IFERROR(_xlfn.XLOOKUP($E602,$O$35:$O$43,$T$35:$T$43)*G602/$P$9,"")</f>
        <v/>
      </c>
      <c r="K602" s="25" t="str">
        <f>IF(E602=$O$43,($D602/50-$T$43*$P$9)/$P$9,"")</f>
        <v/>
      </c>
      <c r="L602" s="25" t="str">
        <f>IFERROR(($D602/50-_xlfn.XLOOKUP($H602,$O$48:$O$62,$T$48:$T$62)*$P$14)/$P$9,"")</f>
        <v/>
      </c>
      <c r="M602" s="14">
        <f t="shared" si="9"/>
        <v>0</v>
      </c>
    </row>
    <row r="603" spans="2:13" x14ac:dyDescent="0.25">
      <c r="B603" s="10" t="str">
        <f>IF('Importér data'!C614="type",'Importér data'!F614,"")</f>
        <v/>
      </c>
      <c r="C603" s="10">
        <f>'Importér data'!H614</f>
        <v>0</v>
      </c>
      <c r="D603" s="32" t="str">
        <f>IF('Importér data'!C614="type",'Importér data'!N614,"")</f>
        <v/>
      </c>
      <c r="E603" s="24"/>
      <c r="F603" s="45"/>
      <c r="G603" s="45"/>
      <c r="H603" s="24"/>
      <c r="I603" s="25" t="str">
        <f>IFERROR(($D603/50-_xlfn.XLOOKUP($E603,$O$35:$O$43,$T$35:$T$43)*F603)/$P$9,"")</f>
        <v/>
      </c>
      <c r="J603" s="25" t="str">
        <f>IFERROR(_xlfn.XLOOKUP($E603,$O$35:$O$43,$T$35:$T$43)*G603/$P$9,"")</f>
        <v/>
      </c>
      <c r="K603" s="25" t="str">
        <f>IF(E603=$O$43,($D603/50-$T$43*$P$9)/$P$9,"")</f>
        <v/>
      </c>
      <c r="L603" s="25" t="str">
        <f>IFERROR(($D603/50-_xlfn.XLOOKUP($H603,$O$48:$O$62,$T$48:$T$62)*$P$14)/$P$9,"")</f>
        <v/>
      </c>
      <c r="M603" s="14">
        <f t="shared" si="9"/>
        <v>0</v>
      </c>
    </row>
    <row r="604" spans="2:13" x14ac:dyDescent="0.25">
      <c r="B604" s="10" t="str">
        <f>IF('Importér data'!C615="type",'Importér data'!F615,"")</f>
        <v/>
      </c>
      <c r="C604" s="10">
        <f>'Importér data'!H615</f>
        <v>0</v>
      </c>
      <c r="D604" s="32" t="str">
        <f>IF('Importér data'!C615="type",'Importér data'!N615,"")</f>
        <v/>
      </c>
      <c r="E604" s="24"/>
      <c r="F604" s="45"/>
      <c r="G604" s="45"/>
      <c r="H604" s="24"/>
      <c r="I604" s="25" t="str">
        <f>IFERROR(($D604/50-_xlfn.XLOOKUP($E604,$O$35:$O$43,$T$35:$T$43)*F604)/$P$9,"")</f>
        <v/>
      </c>
      <c r="J604" s="25" t="str">
        <f>IFERROR(_xlfn.XLOOKUP($E604,$O$35:$O$43,$T$35:$T$43)*G604/$P$9,"")</f>
        <v/>
      </c>
      <c r="K604" s="25" t="str">
        <f>IF(E604=$O$43,($D604/50-$T$43*$P$9)/$P$9,"")</f>
        <v/>
      </c>
      <c r="L604" s="25" t="str">
        <f>IFERROR(($D604/50-_xlfn.XLOOKUP($H604,$O$48:$O$62,$T$48:$T$62)*$P$14)/$P$9,"")</f>
        <v/>
      </c>
      <c r="M604" s="14">
        <f t="shared" si="9"/>
        <v>0</v>
      </c>
    </row>
    <row r="605" spans="2:13" x14ac:dyDescent="0.25">
      <c r="B605" s="10" t="str">
        <f>IF('Importér data'!C616="type",'Importér data'!F616,"")</f>
        <v/>
      </c>
      <c r="C605" s="10">
        <f>'Importér data'!H616</f>
        <v>0</v>
      </c>
      <c r="D605" s="32" t="str">
        <f>IF('Importér data'!C616="type",'Importér data'!N616,"")</f>
        <v/>
      </c>
      <c r="E605" s="24"/>
      <c r="F605" s="45"/>
      <c r="G605" s="45"/>
      <c r="H605" s="24"/>
      <c r="I605" s="25" t="str">
        <f>IFERROR(($D605/50-_xlfn.XLOOKUP($E605,$O$35:$O$43,$T$35:$T$43)*F605)/$P$9,"")</f>
        <v/>
      </c>
      <c r="J605" s="25" t="str">
        <f>IFERROR(_xlfn.XLOOKUP($E605,$O$35:$O$43,$T$35:$T$43)*G605/$P$9,"")</f>
        <v/>
      </c>
      <c r="K605" s="25" t="str">
        <f>IF(E605=$O$43,($D605/50-$T$43*$P$9)/$P$9,"")</f>
        <v/>
      </c>
      <c r="L605" s="25" t="str">
        <f>IFERROR(($D605/50-_xlfn.XLOOKUP($H605,$O$48:$O$62,$T$48:$T$62)*$P$14)/$P$9,"")</f>
        <v/>
      </c>
      <c r="M605" s="14">
        <f t="shared" si="9"/>
        <v>0</v>
      </c>
    </row>
    <row r="606" spans="2:13" x14ac:dyDescent="0.25">
      <c r="B606" s="10" t="str">
        <f>IF('Importér data'!C617="type",'Importér data'!F617,"")</f>
        <v/>
      </c>
      <c r="C606" s="10">
        <f>'Importér data'!H617</f>
        <v>0</v>
      </c>
      <c r="D606" s="32" t="str">
        <f>IF('Importér data'!C617="type",'Importér data'!N617,"")</f>
        <v/>
      </c>
      <c r="E606" s="24"/>
      <c r="F606" s="45"/>
      <c r="G606" s="45"/>
      <c r="H606" s="24"/>
      <c r="I606" s="25" t="str">
        <f>IFERROR(($D606/50-_xlfn.XLOOKUP($E606,$O$35:$O$43,$T$35:$T$43)*F606)/$P$9,"")</f>
        <v/>
      </c>
      <c r="J606" s="25" t="str">
        <f>IFERROR(_xlfn.XLOOKUP($E606,$O$35:$O$43,$T$35:$T$43)*G606/$P$9,"")</f>
        <v/>
      </c>
      <c r="K606" s="25" t="str">
        <f>IF(E606=$O$43,($D606/50-$T$43*$P$9)/$P$9,"")</f>
        <v/>
      </c>
      <c r="L606" s="25" t="str">
        <f>IFERROR(($D606/50-_xlfn.XLOOKUP($H606,$O$48:$O$62,$T$48:$T$62)*$P$14)/$P$9,"")</f>
        <v/>
      </c>
      <c r="M606" s="14">
        <f t="shared" si="9"/>
        <v>0</v>
      </c>
    </row>
    <row r="607" spans="2:13" x14ac:dyDescent="0.25">
      <c r="B607" s="10" t="str">
        <f>IF('Importér data'!C618="type",'Importér data'!F618,"")</f>
        <v/>
      </c>
      <c r="C607" s="10">
        <f>'Importér data'!H618</f>
        <v>0</v>
      </c>
      <c r="D607" s="32" t="str">
        <f>IF('Importér data'!C618="type",'Importér data'!N618,"")</f>
        <v/>
      </c>
      <c r="E607" s="24"/>
      <c r="F607" s="45"/>
      <c r="G607" s="45"/>
      <c r="H607" s="24"/>
      <c r="I607" s="25" t="str">
        <f>IFERROR(($D607/50-_xlfn.XLOOKUP($E607,$O$35:$O$43,$T$35:$T$43)*F607)/$P$9,"")</f>
        <v/>
      </c>
      <c r="J607" s="25" t="str">
        <f>IFERROR(_xlfn.XLOOKUP($E607,$O$35:$O$43,$T$35:$T$43)*G607/$P$9,"")</f>
        <v/>
      </c>
      <c r="K607" s="25" t="str">
        <f>IF(E607=$O$43,($D607/50-$T$43*$P$9)/$P$9,"")</f>
        <v/>
      </c>
      <c r="L607" s="25" t="str">
        <f>IFERROR(($D607/50-_xlfn.XLOOKUP($H607,$O$48:$O$62,$T$48:$T$62)*$P$14)/$P$9,"")</f>
        <v/>
      </c>
      <c r="M607" s="14">
        <f t="shared" si="9"/>
        <v>0</v>
      </c>
    </row>
    <row r="608" spans="2:13" x14ac:dyDescent="0.25">
      <c r="B608" s="10" t="str">
        <f>IF('Importér data'!C619="type",'Importér data'!F619,"")</f>
        <v/>
      </c>
      <c r="C608" s="10">
        <f>'Importér data'!H619</f>
        <v>0</v>
      </c>
      <c r="D608" s="32" t="str">
        <f>IF('Importér data'!C619="type",'Importér data'!N619,"")</f>
        <v/>
      </c>
      <c r="E608" s="24"/>
      <c r="F608" s="45"/>
      <c r="G608" s="45"/>
      <c r="H608" s="24"/>
      <c r="I608" s="25" t="str">
        <f>IFERROR(($D608/50-_xlfn.XLOOKUP($E608,$O$35:$O$43,$T$35:$T$43)*F608)/$P$9,"")</f>
        <v/>
      </c>
      <c r="J608" s="25" t="str">
        <f>IFERROR(_xlfn.XLOOKUP($E608,$O$35:$O$43,$T$35:$T$43)*G608/$P$9,"")</f>
        <v/>
      </c>
      <c r="K608" s="25" t="str">
        <f>IF(E608=$O$43,($D608/50-$T$43*$P$9)/$P$9,"")</f>
        <v/>
      </c>
      <c r="L608" s="25" t="str">
        <f>IFERROR(($D608/50-_xlfn.XLOOKUP($H608,$O$48:$O$62,$T$48:$T$62)*$P$14)/$P$9,"")</f>
        <v/>
      </c>
      <c r="M608" s="14">
        <f t="shared" si="9"/>
        <v>0</v>
      </c>
    </row>
    <row r="609" spans="2:13" x14ac:dyDescent="0.25">
      <c r="B609" s="10" t="str">
        <f>IF('Importér data'!C620="type",'Importér data'!F620,"")</f>
        <v/>
      </c>
      <c r="C609" s="10">
        <f>'Importér data'!H620</f>
        <v>0</v>
      </c>
      <c r="D609" s="32" t="str">
        <f>IF('Importér data'!C620="type",'Importér data'!N620,"")</f>
        <v/>
      </c>
      <c r="E609" s="24"/>
      <c r="F609" s="45"/>
      <c r="G609" s="45"/>
      <c r="H609" s="24"/>
      <c r="I609" s="25" t="str">
        <f>IFERROR(($D609/50-_xlfn.XLOOKUP($E609,$O$35:$O$43,$T$35:$T$43)*F609)/$P$9,"")</f>
        <v/>
      </c>
      <c r="J609" s="25" t="str">
        <f>IFERROR(_xlfn.XLOOKUP($E609,$O$35:$O$43,$T$35:$T$43)*G609/$P$9,"")</f>
        <v/>
      </c>
      <c r="K609" s="25" t="str">
        <f>IF(E609=$O$43,($D609/50-$T$43*$P$9)/$P$9,"")</f>
        <v/>
      </c>
      <c r="L609" s="25" t="str">
        <f>IFERROR(($D609/50-_xlfn.XLOOKUP($H609,$O$48:$O$62,$T$48:$T$62)*$P$14)/$P$9,"")</f>
        <v/>
      </c>
      <c r="M609" s="14">
        <f t="shared" si="9"/>
        <v>0</v>
      </c>
    </row>
    <row r="610" spans="2:13" x14ac:dyDescent="0.25">
      <c r="B610" s="10" t="str">
        <f>IF('Importér data'!C621="type",'Importér data'!F621,"")</f>
        <v/>
      </c>
      <c r="C610" s="10">
        <f>'Importér data'!H621</f>
        <v>0</v>
      </c>
      <c r="D610" s="32" t="str">
        <f>IF('Importér data'!C621="type",'Importér data'!N621,"")</f>
        <v/>
      </c>
      <c r="E610" s="24"/>
      <c r="F610" s="45"/>
      <c r="G610" s="45"/>
      <c r="H610" s="24"/>
      <c r="I610" s="25" t="str">
        <f>IFERROR(($D610/50-_xlfn.XLOOKUP($E610,$O$35:$O$43,$T$35:$T$43)*F610)/$P$9,"")</f>
        <v/>
      </c>
      <c r="J610" s="25" t="str">
        <f>IFERROR(_xlfn.XLOOKUP($E610,$O$35:$O$43,$T$35:$T$43)*G610/$P$9,"")</f>
        <v/>
      </c>
      <c r="K610" s="25" t="str">
        <f>IF(E610=$O$43,($D610/50-$T$43*$P$9)/$P$9,"")</f>
        <v/>
      </c>
      <c r="L610" s="25" t="str">
        <f>IFERROR(($D610/50-_xlfn.XLOOKUP($H610,$O$48:$O$62,$T$48:$T$62)*$P$14)/$P$9,"")</f>
        <v/>
      </c>
      <c r="M610" s="14">
        <f t="shared" si="9"/>
        <v>0</v>
      </c>
    </row>
    <row r="611" spans="2:13" x14ac:dyDescent="0.25">
      <c r="B611" s="10" t="str">
        <f>IF('Importér data'!C622="type",'Importér data'!F622,"")</f>
        <v/>
      </c>
      <c r="C611" s="10">
        <f>'Importér data'!H622</f>
        <v>0</v>
      </c>
      <c r="D611" s="32" t="str">
        <f>IF('Importér data'!C622="type",'Importér data'!N622,"")</f>
        <v/>
      </c>
      <c r="E611" s="24"/>
      <c r="F611" s="45"/>
      <c r="G611" s="45"/>
      <c r="H611" s="24"/>
      <c r="I611" s="25" t="str">
        <f>IFERROR(($D611/50-_xlfn.XLOOKUP($E611,$O$35:$O$43,$T$35:$T$43)*F611)/$P$9,"")</f>
        <v/>
      </c>
      <c r="J611" s="25" t="str">
        <f>IFERROR(_xlfn.XLOOKUP($E611,$O$35:$O$43,$T$35:$T$43)*G611/$P$9,"")</f>
        <v/>
      </c>
      <c r="K611" s="25" t="str">
        <f>IF(E611=$O$43,($D611/50-$T$43*$P$9)/$P$9,"")</f>
        <v/>
      </c>
      <c r="L611" s="25" t="str">
        <f>IFERROR(($D611/50-_xlfn.XLOOKUP($H611,$O$48:$O$62,$T$48:$T$62)*$P$14)/$P$9,"")</f>
        <v/>
      </c>
      <c r="M611" s="14">
        <f t="shared" si="9"/>
        <v>0</v>
      </c>
    </row>
    <row r="612" spans="2:13" x14ac:dyDescent="0.25">
      <c r="B612" s="10" t="str">
        <f>IF('Importér data'!C623="type",'Importér data'!F623,"")</f>
        <v/>
      </c>
      <c r="C612" s="10">
        <f>'Importér data'!H623</f>
        <v>0</v>
      </c>
      <c r="D612" s="32" t="str">
        <f>IF('Importér data'!C623="type",'Importér data'!N623,"")</f>
        <v/>
      </c>
      <c r="E612" s="24"/>
      <c r="F612" s="45"/>
      <c r="G612" s="45"/>
      <c r="H612" s="24"/>
      <c r="I612" s="25" t="str">
        <f>IFERROR(($D612/50-_xlfn.XLOOKUP($E612,$O$35:$O$43,$T$35:$T$43)*F612)/$P$9,"")</f>
        <v/>
      </c>
      <c r="J612" s="25" t="str">
        <f>IFERROR(_xlfn.XLOOKUP($E612,$O$35:$O$43,$T$35:$T$43)*G612/$P$9,"")</f>
        <v/>
      </c>
      <c r="K612" s="25" t="str">
        <f>IF(E612=$O$43,($D612/50-$T$43*$P$9)/$P$9,"")</f>
        <v/>
      </c>
      <c r="L612" s="25" t="str">
        <f>IFERROR(($D612/50-_xlfn.XLOOKUP($H612,$O$48:$O$62,$T$48:$T$62)*$P$14)/$P$9,"")</f>
        <v/>
      </c>
      <c r="M612" s="14">
        <f t="shared" si="9"/>
        <v>0</v>
      </c>
    </row>
    <row r="613" spans="2:13" x14ac:dyDescent="0.25">
      <c r="B613" s="10" t="str">
        <f>IF('Importér data'!C624="type",'Importér data'!F624,"")</f>
        <v/>
      </c>
      <c r="C613" s="10">
        <f>'Importér data'!H624</f>
        <v>0</v>
      </c>
      <c r="D613" s="32" t="str">
        <f>IF('Importér data'!C624="type",'Importér data'!N624,"")</f>
        <v/>
      </c>
      <c r="E613" s="24"/>
      <c r="F613" s="45"/>
      <c r="G613" s="45"/>
      <c r="H613" s="24"/>
      <c r="I613" s="25" t="str">
        <f>IFERROR(($D613/50-_xlfn.XLOOKUP($E613,$O$35:$O$43,$T$35:$T$43)*F613)/$P$9,"")</f>
        <v/>
      </c>
      <c r="J613" s="25" t="str">
        <f>IFERROR(_xlfn.XLOOKUP($E613,$O$35:$O$43,$T$35:$T$43)*G613/$P$9,"")</f>
        <v/>
      </c>
      <c r="K613" s="25" t="str">
        <f>IF(E613=$O$43,($D613/50-$T$43*$P$9)/$P$9,"")</f>
        <v/>
      </c>
      <c r="L613" s="25" t="str">
        <f>IFERROR(($D613/50-_xlfn.XLOOKUP($H613,$O$48:$O$62,$T$48:$T$62)*$P$14)/$P$9,"")</f>
        <v/>
      </c>
      <c r="M613" s="14">
        <f t="shared" si="9"/>
        <v>0</v>
      </c>
    </row>
    <row r="614" spans="2:13" x14ac:dyDescent="0.25">
      <c r="B614" s="10" t="str">
        <f>IF('Importér data'!C625="type",'Importér data'!F625,"")</f>
        <v/>
      </c>
      <c r="C614" s="10">
        <f>'Importér data'!H625</f>
        <v>0</v>
      </c>
      <c r="D614" s="32" t="str">
        <f>IF('Importér data'!C625="type",'Importér data'!N625,"")</f>
        <v/>
      </c>
      <c r="E614" s="24"/>
      <c r="F614" s="45"/>
      <c r="G614" s="45"/>
      <c r="H614" s="24"/>
      <c r="I614" s="25" t="str">
        <f>IFERROR(($D614/50-_xlfn.XLOOKUP($E614,$O$35:$O$43,$T$35:$T$43)*F614)/$P$9,"")</f>
        <v/>
      </c>
      <c r="J614" s="25" t="str">
        <f>IFERROR(_xlfn.XLOOKUP($E614,$O$35:$O$43,$T$35:$T$43)*G614/$P$9,"")</f>
        <v/>
      </c>
      <c r="K614" s="25" t="str">
        <f>IF(E614=$O$43,($D614/50-$T$43*$P$9)/$P$9,"")</f>
        <v/>
      </c>
      <c r="L614" s="25" t="str">
        <f>IFERROR(($D614/50-_xlfn.XLOOKUP($H614,$O$48:$O$62,$T$48:$T$62)*$P$14)/$P$9,"")</f>
        <v/>
      </c>
      <c r="M614" s="14">
        <f t="shared" si="9"/>
        <v>0</v>
      </c>
    </row>
    <row r="615" spans="2:13" x14ac:dyDescent="0.25">
      <c r="B615" s="10" t="str">
        <f>IF('Importér data'!C626="type",'Importér data'!F626,"")</f>
        <v/>
      </c>
      <c r="C615" s="10">
        <f>'Importér data'!H626</f>
        <v>0</v>
      </c>
      <c r="D615" s="32" t="str">
        <f>IF('Importér data'!C626="type",'Importér data'!N626,"")</f>
        <v/>
      </c>
      <c r="E615" s="24"/>
      <c r="F615" s="45"/>
      <c r="G615" s="45"/>
      <c r="H615" s="24"/>
      <c r="I615" s="25" t="str">
        <f>IFERROR(($D615/50-_xlfn.XLOOKUP($E615,$O$35:$O$43,$T$35:$T$43)*F615)/$P$9,"")</f>
        <v/>
      </c>
      <c r="J615" s="25" t="str">
        <f>IFERROR(_xlfn.XLOOKUP($E615,$O$35:$O$43,$T$35:$T$43)*G615/$P$9,"")</f>
        <v/>
      </c>
      <c r="K615" s="25" t="str">
        <f>IF(E615=$O$43,($D615/50-$T$43*$P$9)/$P$9,"")</f>
        <v/>
      </c>
      <c r="L615" s="25" t="str">
        <f>IFERROR(($D615/50-_xlfn.XLOOKUP($H615,$O$48:$O$62,$T$48:$T$62)*$P$14)/$P$9,"")</f>
        <v/>
      </c>
      <c r="M615" s="14">
        <f t="shared" si="9"/>
        <v>0</v>
      </c>
    </row>
    <row r="616" spans="2:13" x14ac:dyDescent="0.25">
      <c r="B616" s="10" t="str">
        <f>IF('Importér data'!C627="type",'Importér data'!F627,"")</f>
        <v/>
      </c>
      <c r="C616" s="10">
        <f>'Importér data'!H627</f>
        <v>0</v>
      </c>
      <c r="D616" s="32" t="str">
        <f>IF('Importér data'!C627="type",'Importér data'!N627,"")</f>
        <v/>
      </c>
      <c r="E616" s="24"/>
      <c r="F616" s="45"/>
      <c r="G616" s="45"/>
      <c r="H616" s="24"/>
      <c r="I616" s="25" t="str">
        <f>IFERROR(($D616/50-_xlfn.XLOOKUP($E616,$O$35:$O$43,$T$35:$T$43)*F616)/$P$9,"")</f>
        <v/>
      </c>
      <c r="J616" s="25" t="str">
        <f>IFERROR(_xlfn.XLOOKUP($E616,$O$35:$O$43,$T$35:$T$43)*G616/$P$9,"")</f>
        <v/>
      </c>
      <c r="K616" s="25" t="str">
        <f>IF(E616=$O$43,($D616/50-$T$43*$P$9)/$P$9,"")</f>
        <v/>
      </c>
      <c r="L616" s="25" t="str">
        <f>IFERROR(($D616/50-_xlfn.XLOOKUP($H616,$O$48:$O$62,$T$48:$T$62)*$P$14)/$P$9,"")</f>
        <v/>
      </c>
      <c r="M616" s="14">
        <f t="shared" si="9"/>
        <v>0</v>
      </c>
    </row>
    <row r="617" spans="2:13" x14ac:dyDescent="0.25">
      <c r="B617" s="10" t="str">
        <f>IF('Importér data'!C628="type",'Importér data'!F628,"")</f>
        <v/>
      </c>
      <c r="C617" s="10">
        <f>'Importér data'!H628</f>
        <v>0</v>
      </c>
      <c r="D617" s="32" t="str">
        <f>IF('Importér data'!C628="type",'Importér data'!N628,"")</f>
        <v/>
      </c>
      <c r="E617" s="24"/>
      <c r="F617" s="45"/>
      <c r="G617" s="45"/>
      <c r="H617" s="24"/>
      <c r="I617" s="25" t="str">
        <f>IFERROR(($D617/50-_xlfn.XLOOKUP($E617,$O$35:$O$43,$T$35:$T$43)*F617)/$P$9,"")</f>
        <v/>
      </c>
      <c r="J617" s="25" t="str">
        <f>IFERROR(_xlfn.XLOOKUP($E617,$O$35:$O$43,$T$35:$T$43)*G617/$P$9,"")</f>
        <v/>
      </c>
      <c r="K617" s="25" t="str">
        <f>IF(E617=$O$43,($D617/50-$T$43*$P$9)/$P$9,"")</f>
        <v/>
      </c>
      <c r="L617" s="25" t="str">
        <f>IFERROR(($D617/50-_xlfn.XLOOKUP($H617,$O$48:$O$62,$T$48:$T$62)*$P$14)/$P$9,"")</f>
        <v/>
      </c>
      <c r="M617" s="14">
        <f t="shared" si="9"/>
        <v>0</v>
      </c>
    </row>
    <row r="618" spans="2:13" x14ac:dyDescent="0.25">
      <c r="B618" s="10" t="str">
        <f>IF('Importér data'!C629="type",'Importér data'!F629,"")</f>
        <v/>
      </c>
      <c r="C618" s="10">
        <f>'Importér data'!H629</f>
        <v>0</v>
      </c>
      <c r="D618" s="32" t="str">
        <f>IF('Importér data'!C629="type",'Importér data'!N629,"")</f>
        <v/>
      </c>
      <c r="E618" s="24"/>
      <c r="F618" s="45"/>
      <c r="G618" s="45"/>
      <c r="H618" s="24"/>
      <c r="I618" s="25" t="str">
        <f>IFERROR(($D618/50-_xlfn.XLOOKUP($E618,$O$35:$O$43,$T$35:$T$43)*F618)/$P$9,"")</f>
        <v/>
      </c>
      <c r="J618" s="25" t="str">
        <f>IFERROR(_xlfn.XLOOKUP($E618,$O$35:$O$43,$T$35:$T$43)*G618/$P$9,"")</f>
        <v/>
      </c>
      <c r="K618" s="25" t="str">
        <f>IF(E618=$O$43,($D618/50-$T$43*$P$9)/$P$9,"")</f>
        <v/>
      </c>
      <c r="L618" s="25" t="str">
        <f>IFERROR(($D618/50-_xlfn.XLOOKUP($H618,$O$48:$O$62,$T$48:$T$62)*$P$14)/$P$9,"")</f>
        <v/>
      </c>
      <c r="M618" s="14">
        <f t="shared" si="9"/>
        <v>0</v>
      </c>
    </row>
    <row r="619" spans="2:13" x14ac:dyDescent="0.25">
      <c r="B619" s="10" t="str">
        <f>IF('Importér data'!C630="type",'Importér data'!F630,"")</f>
        <v/>
      </c>
      <c r="C619" s="10">
        <f>'Importér data'!H630</f>
        <v>0</v>
      </c>
      <c r="D619" s="32" t="str">
        <f>IF('Importér data'!C630="type",'Importér data'!N630,"")</f>
        <v/>
      </c>
      <c r="E619" s="24"/>
      <c r="F619" s="45"/>
      <c r="G619" s="45"/>
      <c r="H619" s="24"/>
      <c r="I619" s="25" t="str">
        <f>IFERROR(($D619/50-_xlfn.XLOOKUP($E619,$O$35:$O$43,$T$35:$T$43)*F619)/$P$9,"")</f>
        <v/>
      </c>
      <c r="J619" s="25" t="str">
        <f>IFERROR(_xlfn.XLOOKUP($E619,$O$35:$O$43,$T$35:$T$43)*G619/$P$9,"")</f>
        <v/>
      </c>
      <c r="K619" s="25" t="str">
        <f>IF(E619=$O$43,($D619/50-$T$43*$P$9)/$P$9,"")</f>
        <v/>
      </c>
      <c r="L619" s="25" t="str">
        <f>IFERROR(($D619/50-_xlfn.XLOOKUP($H619,$O$48:$O$62,$T$48:$T$62)*$P$14)/$P$9,"")</f>
        <v/>
      </c>
      <c r="M619" s="14">
        <f t="shared" si="9"/>
        <v>0</v>
      </c>
    </row>
    <row r="620" spans="2:13" x14ac:dyDescent="0.25">
      <c r="B620" s="10" t="str">
        <f>IF('Importér data'!C631="type",'Importér data'!F631,"")</f>
        <v/>
      </c>
      <c r="C620" s="10">
        <f>'Importér data'!H631</f>
        <v>0</v>
      </c>
      <c r="D620" s="32" t="str">
        <f>IF('Importér data'!C631="type",'Importér data'!N631,"")</f>
        <v/>
      </c>
      <c r="E620" s="24"/>
      <c r="F620" s="45"/>
      <c r="G620" s="45"/>
      <c r="H620" s="24"/>
      <c r="I620" s="25" t="str">
        <f>IFERROR(($D620/50-_xlfn.XLOOKUP($E620,$O$35:$O$43,$T$35:$T$43)*F620)/$P$9,"")</f>
        <v/>
      </c>
      <c r="J620" s="25" t="str">
        <f>IFERROR(_xlfn.XLOOKUP($E620,$O$35:$O$43,$T$35:$T$43)*G620/$P$9,"")</f>
        <v/>
      </c>
      <c r="K620" s="25" t="str">
        <f>IF(E620=$O$43,($D620/50-$T$43*$P$9)/$P$9,"")</f>
        <v/>
      </c>
      <c r="L620" s="25" t="str">
        <f>IFERROR(($D620/50-_xlfn.XLOOKUP($H620,$O$48:$O$62,$T$48:$T$62)*$P$14)/$P$9,"")</f>
        <v/>
      </c>
      <c r="M620" s="14">
        <f t="shared" si="9"/>
        <v>0</v>
      </c>
    </row>
    <row r="621" spans="2:13" x14ac:dyDescent="0.25">
      <c r="B621" s="10" t="str">
        <f>IF('Importér data'!C632="type",'Importér data'!F632,"")</f>
        <v/>
      </c>
      <c r="C621" s="10">
        <f>'Importér data'!H632</f>
        <v>0</v>
      </c>
      <c r="D621" s="32" t="str">
        <f>IF('Importér data'!C632="type",'Importér data'!N632,"")</f>
        <v/>
      </c>
      <c r="E621" s="24"/>
      <c r="F621" s="45"/>
      <c r="G621" s="45"/>
      <c r="H621" s="24"/>
      <c r="I621" s="25" t="str">
        <f>IFERROR(($D621/50-_xlfn.XLOOKUP($E621,$O$35:$O$43,$T$35:$T$43)*F621)/$P$9,"")</f>
        <v/>
      </c>
      <c r="J621" s="25" t="str">
        <f>IFERROR(_xlfn.XLOOKUP($E621,$O$35:$O$43,$T$35:$T$43)*G621/$P$9,"")</f>
        <v/>
      </c>
      <c r="K621" s="25" t="str">
        <f>IF(E621=$O$43,($D621/50-$T$43*$P$9)/$P$9,"")</f>
        <v/>
      </c>
      <c r="L621" s="25" t="str">
        <f>IFERROR(($D621/50-_xlfn.XLOOKUP($H621,$O$48:$O$62,$T$48:$T$62)*$P$14)/$P$9,"")</f>
        <v/>
      </c>
      <c r="M621" s="14">
        <f t="shared" si="9"/>
        <v>0</v>
      </c>
    </row>
    <row r="622" spans="2:13" x14ac:dyDescent="0.25">
      <c r="B622" s="10" t="str">
        <f>IF('Importér data'!C633="type",'Importér data'!F633,"")</f>
        <v/>
      </c>
      <c r="C622" s="10">
        <f>'Importér data'!H633</f>
        <v>0</v>
      </c>
      <c r="D622" s="32" t="str">
        <f>IF('Importér data'!C633="type",'Importér data'!N633,"")</f>
        <v/>
      </c>
      <c r="E622" s="24"/>
      <c r="F622" s="45"/>
      <c r="G622" s="45"/>
      <c r="H622" s="24"/>
      <c r="I622" s="25" t="str">
        <f>IFERROR(($D622/50-_xlfn.XLOOKUP($E622,$O$35:$O$43,$T$35:$T$43)*F622)/$P$9,"")</f>
        <v/>
      </c>
      <c r="J622" s="25" t="str">
        <f>IFERROR(_xlfn.XLOOKUP($E622,$O$35:$O$43,$T$35:$T$43)*G622/$P$9,"")</f>
        <v/>
      </c>
      <c r="K622" s="25" t="str">
        <f>IF(E622=$O$43,($D622/50-$T$43*$P$9)/$P$9,"")</f>
        <v/>
      </c>
      <c r="L622" s="25" t="str">
        <f>IFERROR(($D622/50-_xlfn.XLOOKUP($H622,$O$48:$O$62,$T$48:$T$62)*$P$14)/$P$9,"")</f>
        <v/>
      </c>
      <c r="M622" s="14">
        <f t="shared" si="9"/>
        <v>0</v>
      </c>
    </row>
    <row r="623" spans="2:13" x14ac:dyDescent="0.25">
      <c r="B623" s="10" t="str">
        <f>IF('Importér data'!C634="type",'Importér data'!F634,"")</f>
        <v/>
      </c>
      <c r="C623" s="10">
        <f>'Importér data'!H634</f>
        <v>0</v>
      </c>
      <c r="D623" s="32" t="str">
        <f>IF('Importér data'!C634="type",'Importér data'!N634,"")</f>
        <v/>
      </c>
      <c r="E623" s="24"/>
      <c r="F623" s="45"/>
      <c r="G623" s="45"/>
      <c r="H623" s="24"/>
      <c r="I623" s="25" t="str">
        <f>IFERROR(($D623/50-_xlfn.XLOOKUP($E623,$O$35:$O$43,$T$35:$T$43)*F623)/$P$9,"")</f>
        <v/>
      </c>
      <c r="J623" s="25" t="str">
        <f>IFERROR(_xlfn.XLOOKUP($E623,$O$35:$O$43,$T$35:$T$43)*G623/$P$9,"")</f>
        <v/>
      </c>
      <c r="K623" s="25" t="str">
        <f>IF(E623=$O$43,($D623/50-$T$43*$P$9)/$P$9,"")</f>
        <v/>
      </c>
      <c r="L623" s="25" t="str">
        <f>IFERROR(($D623/50-_xlfn.XLOOKUP($H623,$O$48:$O$62,$T$48:$T$62)*$P$14)/$P$9,"")</f>
        <v/>
      </c>
      <c r="M623" s="14">
        <f t="shared" si="9"/>
        <v>0</v>
      </c>
    </row>
    <row r="624" spans="2:13" x14ac:dyDescent="0.25">
      <c r="B624" s="10" t="str">
        <f>IF('Importér data'!C635="type",'Importér data'!F635,"")</f>
        <v/>
      </c>
      <c r="C624" s="10">
        <f>'Importér data'!H635</f>
        <v>0</v>
      </c>
      <c r="D624" s="32" t="str">
        <f>IF('Importér data'!C635="type",'Importér data'!N635,"")</f>
        <v/>
      </c>
      <c r="E624" s="24"/>
      <c r="F624" s="45"/>
      <c r="G624" s="45"/>
      <c r="H624" s="24"/>
      <c r="I624" s="25" t="str">
        <f>IFERROR(($D624/50-_xlfn.XLOOKUP($E624,$O$35:$O$43,$T$35:$T$43)*F624)/$P$9,"")</f>
        <v/>
      </c>
      <c r="J624" s="25" t="str">
        <f>IFERROR(_xlfn.XLOOKUP($E624,$O$35:$O$43,$T$35:$T$43)*G624/$P$9,"")</f>
        <v/>
      </c>
      <c r="K624" s="25" t="str">
        <f>IF(E624=$O$43,($D624/50-$T$43*$P$9)/$P$9,"")</f>
        <v/>
      </c>
      <c r="L624" s="25" t="str">
        <f>IFERROR(($D624/50-_xlfn.XLOOKUP($H624,$O$48:$O$62,$T$48:$T$62)*$P$14)/$P$9,"")</f>
        <v/>
      </c>
      <c r="M624" s="14">
        <f t="shared" si="9"/>
        <v>0</v>
      </c>
    </row>
    <row r="625" spans="2:13" x14ac:dyDescent="0.25">
      <c r="B625" s="10" t="str">
        <f>IF('Importér data'!C636="type",'Importér data'!F636,"")</f>
        <v/>
      </c>
      <c r="C625" s="10">
        <f>'Importér data'!H636</f>
        <v>0</v>
      </c>
      <c r="D625" s="32" t="str">
        <f>IF('Importér data'!C636="type",'Importér data'!N636,"")</f>
        <v/>
      </c>
      <c r="E625" s="24"/>
      <c r="F625" s="45"/>
      <c r="G625" s="45"/>
      <c r="H625" s="24"/>
      <c r="I625" s="25" t="str">
        <f>IFERROR(($D625/50-_xlfn.XLOOKUP($E625,$O$35:$O$43,$T$35:$T$43)*F625)/$P$9,"")</f>
        <v/>
      </c>
      <c r="J625" s="25" t="str">
        <f>IFERROR(_xlfn.XLOOKUP($E625,$O$35:$O$43,$T$35:$T$43)*G625/$P$9,"")</f>
        <v/>
      </c>
      <c r="K625" s="25" t="str">
        <f>IF(E625=$O$43,($D625/50-$T$43*$P$9)/$P$9,"")</f>
        <v/>
      </c>
      <c r="L625" s="25" t="str">
        <f>IFERROR(($D625/50-_xlfn.XLOOKUP($H625,$O$48:$O$62,$T$48:$T$62)*$P$14)/$P$9,"")</f>
        <v/>
      </c>
      <c r="M625" s="14">
        <f t="shared" si="9"/>
        <v>0</v>
      </c>
    </row>
    <row r="626" spans="2:13" x14ac:dyDescent="0.25">
      <c r="B626" s="10" t="str">
        <f>IF('Importér data'!C637="type",'Importér data'!F637,"")</f>
        <v/>
      </c>
      <c r="C626" s="10">
        <f>'Importér data'!H637</f>
        <v>0</v>
      </c>
      <c r="D626" s="32" t="str">
        <f>IF('Importér data'!C637="type",'Importér data'!N637,"")</f>
        <v/>
      </c>
      <c r="E626" s="24"/>
      <c r="F626" s="45"/>
      <c r="G626" s="45"/>
      <c r="H626" s="24"/>
      <c r="I626" s="25" t="str">
        <f>IFERROR(($D626/50-_xlfn.XLOOKUP($E626,$O$35:$O$43,$T$35:$T$43)*F626)/$P$9,"")</f>
        <v/>
      </c>
      <c r="J626" s="25" t="str">
        <f>IFERROR(_xlfn.XLOOKUP($E626,$O$35:$O$43,$T$35:$T$43)*G626/$P$9,"")</f>
        <v/>
      </c>
      <c r="K626" s="25" t="str">
        <f>IF(E626=$O$43,($D626/50-$T$43*$P$9)/$P$9,"")</f>
        <v/>
      </c>
      <c r="L626" s="25" t="str">
        <f>IFERROR(($D626/50-_xlfn.XLOOKUP($H626,$O$48:$O$62,$T$48:$T$62)*$P$14)/$P$9,"")</f>
        <v/>
      </c>
      <c r="M626" s="14">
        <f t="shared" si="9"/>
        <v>0</v>
      </c>
    </row>
    <row r="627" spans="2:13" x14ac:dyDescent="0.25">
      <c r="B627" s="10" t="str">
        <f>IF('Importér data'!C638="type",'Importér data'!F638,"")</f>
        <v/>
      </c>
      <c r="C627" s="10">
        <f>'Importér data'!H638</f>
        <v>0</v>
      </c>
      <c r="D627" s="32" t="str">
        <f>IF('Importér data'!C638="type",'Importér data'!N638,"")</f>
        <v/>
      </c>
      <c r="E627" s="24"/>
      <c r="F627" s="45"/>
      <c r="G627" s="45"/>
      <c r="H627" s="24"/>
      <c r="I627" s="25" t="str">
        <f>IFERROR(($D627/50-_xlfn.XLOOKUP($E627,$O$35:$O$43,$T$35:$T$43)*F627)/$P$9,"")</f>
        <v/>
      </c>
      <c r="J627" s="25" t="str">
        <f>IFERROR(_xlfn.XLOOKUP($E627,$O$35:$O$43,$T$35:$T$43)*G627/$P$9,"")</f>
        <v/>
      </c>
      <c r="K627" s="25" t="str">
        <f>IF(E627=$O$43,($D627/50-$T$43*$P$9)/$P$9,"")</f>
        <v/>
      </c>
      <c r="L627" s="25" t="str">
        <f>IFERROR(($D627/50-_xlfn.XLOOKUP($H627,$O$48:$O$62,$T$48:$T$62)*$P$14)/$P$9,"")</f>
        <v/>
      </c>
      <c r="M627" s="14">
        <f t="shared" si="9"/>
        <v>0</v>
      </c>
    </row>
    <row r="628" spans="2:13" x14ac:dyDescent="0.25">
      <c r="B628" s="10" t="str">
        <f>IF('Importér data'!C639="type",'Importér data'!F639,"")</f>
        <v/>
      </c>
      <c r="C628" s="10">
        <f>'Importér data'!H639</f>
        <v>0</v>
      </c>
      <c r="D628" s="32" t="str">
        <f>IF('Importér data'!C639="type",'Importér data'!N639,"")</f>
        <v/>
      </c>
      <c r="E628" s="24"/>
      <c r="F628" s="45"/>
      <c r="G628" s="45"/>
      <c r="H628" s="24"/>
      <c r="I628" s="25" t="str">
        <f>IFERROR(($D628/50-_xlfn.XLOOKUP($E628,$O$35:$O$43,$T$35:$T$43)*F628)/$P$9,"")</f>
        <v/>
      </c>
      <c r="J628" s="25" t="str">
        <f>IFERROR(_xlfn.XLOOKUP($E628,$O$35:$O$43,$T$35:$T$43)*G628/$P$9,"")</f>
        <v/>
      </c>
      <c r="K628" s="25" t="str">
        <f>IF(E628=$O$43,($D628/50-$T$43*$P$9)/$P$9,"")</f>
        <v/>
      </c>
      <c r="L628" s="25" t="str">
        <f>IFERROR(($D628/50-_xlfn.XLOOKUP($H628,$O$48:$O$62,$T$48:$T$62)*$P$14)/$P$9,"")</f>
        <v/>
      </c>
      <c r="M628" s="14">
        <f t="shared" si="9"/>
        <v>0</v>
      </c>
    </row>
    <row r="629" spans="2:13" x14ac:dyDescent="0.25">
      <c r="B629" s="10" t="str">
        <f>IF('Importér data'!C640="type",'Importér data'!F640,"")</f>
        <v/>
      </c>
      <c r="C629" s="10">
        <f>'Importér data'!H640</f>
        <v>0</v>
      </c>
      <c r="D629" s="32" t="str">
        <f>IF('Importér data'!C640="type",'Importér data'!N640,"")</f>
        <v/>
      </c>
      <c r="E629" s="24"/>
      <c r="F629" s="45"/>
      <c r="G629" s="45"/>
      <c r="H629" s="24"/>
      <c r="I629" s="25" t="str">
        <f>IFERROR(($D629/50-_xlfn.XLOOKUP($E629,$O$35:$O$43,$T$35:$T$43)*F629)/$P$9,"")</f>
        <v/>
      </c>
      <c r="J629" s="25" t="str">
        <f>IFERROR(_xlfn.XLOOKUP($E629,$O$35:$O$43,$T$35:$T$43)*G629/$P$9,"")</f>
        <v/>
      </c>
      <c r="K629" s="25" t="str">
        <f>IF(E629=$O$43,($D629/50-$T$43*$P$9)/$P$9,"")</f>
        <v/>
      </c>
      <c r="L629" s="25" t="str">
        <f>IFERROR(($D629/50-_xlfn.XLOOKUP($H629,$O$48:$O$62,$T$48:$T$62)*$P$14)/$P$9,"")</f>
        <v/>
      </c>
      <c r="M629" s="14">
        <f t="shared" si="9"/>
        <v>0</v>
      </c>
    </row>
    <row r="630" spans="2:13" x14ac:dyDescent="0.25">
      <c r="B630" s="10" t="str">
        <f>IF('Importér data'!C641="type",'Importér data'!F641,"")</f>
        <v/>
      </c>
      <c r="C630" s="10">
        <f>'Importér data'!H641</f>
        <v>0</v>
      </c>
      <c r="D630" s="32" t="str">
        <f>IF('Importér data'!C641="type",'Importér data'!N641,"")</f>
        <v/>
      </c>
      <c r="E630" s="24"/>
      <c r="F630" s="45"/>
      <c r="G630" s="45"/>
      <c r="H630" s="24"/>
      <c r="I630" s="25" t="str">
        <f>IFERROR(($D630/50-_xlfn.XLOOKUP($E630,$O$35:$O$43,$T$35:$T$43)*F630)/$P$9,"")</f>
        <v/>
      </c>
      <c r="J630" s="25" t="str">
        <f>IFERROR(_xlfn.XLOOKUP($E630,$O$35:$O$43,$T$35:$T$43)*G630/$P$9,"")</f>
        <v/>
      </c>
      <c r="K630" s="25" t="str">
        <f>IF(E630=$O$43,($D630/50-$T$43*$P$9)/$P$9,"")</f>
        <v/>
      </c>
      <c r="L630" s="25" t="str">
        <f>IFERROR(($D630/50-_xlfn.XLOOKUP($H630,$O$48:$O$62,$T$48:$T$62)*$P$14)/$P$9,"")</f>
        <v/>
      </c>
      <c r="M630" s="14">
        <f t="shared" si="9"/>
        <v>0</v>
      </c>
    </row>
    <row r="631" spans="2:13" x14ac:dyDescent="0.25">
      <c r="B631" s="10" t="str">
        <f>IF('Importér data'!C642="type",'Importér data'!F642,"")</f>
        <v/>
      </c>
      <c r="C631" s="10">
        <f>'Importér data'!H642</f>
        <v>0</v>
      </c>
      <c r="D631" s="32" t="str">
        <f>IF('Importér data'!C642="type",'Importér data'!N642,"")</f>
        <v/>
      </c>
      <c r="E631" s="24"/>
      <c r="F631" s="45"/>
      <c r="G631" s="45"/>
      <c r="H631" s="24"/>
      <c r="I631" s="25" t="str">
        <f>IFERROR(($D631/50-_xlfn.XLOOKUP($E631,$O$35:$O$43,$T$35:$T$43)*F631)/$P$9,"")</f>
        <v/>
      </c>
      <c r="J631" s="25" t="str">
        <f>IFERROR(_xlfn.XLOOKUP($E631,$O$35:$O$43,$T$35:$T$43)*G631/$P$9,"")</f>
        <v/>
      </c>
      <c r="K631" s="25" t="str">
        <f>IF(E631=$O$43,($D631/50-$T$43*$P$9)/$P$9,"")</f>
        <v/>
      </c>
      <c r="L631" s="25" t="str">
        <f>IFERROR(($D631/50-_xlfn.XLOOKUP($H631,$O$48:$O$62,$T$48:$T$62)*$P$14)/$P$9,"")</f>
        <v/>
      </c>
      <c r="M631" s="14">
        <f t="shared" si="9"/>
        <v>0</v>
      </c>
    </row>
    <row r="632" spans="2:13" x14ac:dyDescent="0.25">
      <c r="B632" s="10" t="str">
        <f>IF('Importér data'!C643="type",'Importér data'!F643,"")</f>
        <v/>
      </c>
      <c r="C632" s="10">
        <f>'Importér data'!H643</f>
        <v>0</v>
      </c>
      <c r="D632" s="32" t="str">
        <f>IF('Importér data'!C643="type",'Importér data'!N643,"")</f>
        <v/>
      </c>
      <c r="E632" s="24"/>
      <c r="F632" s="45"/>
      <c r="G632" s="45"/>
      <c r="H632" s="24"/>
      <c r="I632" s="25" t="str">
        <f>IFERROR(($D632/50-_xlfn.XLOOKUP($E632,$O$35:$O$43,$T$35:$T$43)*F632)/$P$9,"")</f>
        <v/>
      </c>
      <c r="J632" s="25" t="str">
        <f>IFERROR(_xlfn.XLOOKUP($E632,$O$35:$O$43,$T$35:$T$43)*G632/$P$9,"")</f>
        <v/>
      </c>
      <c r="K632" s="25" t="str">
        <f>IF(E632=$O$43,($D632/50-$T$43*$P$9)/$P$9,"")</f>
        <v/>
      </c>
      <c r="L632" s="25" t="str">
        <f>IFERROR(($D632/50-_xlfn.XLOOKUP($H632,$O$48:$O$62,$T$48:$T$62)*$P$14)/$P$9,"")</f>
        <v/>
      </c>
      <c r="M632" s="14">
        <f t="shared" si="9"/>
        <v>0</v>
      </c>
    </row>
    <row r="633" spans="2:13" x14ac:dyDescent="0.25">
      <c r="B633" s="10" t="str">
        <f>IF('Importér data'!C644="type",'Importér data'!F644,"")</f>
        <v/>
      </c>
      <c r="C633" s="10">
        <f>'Importér data'!H644</f>
        <v>0</v>
      </c>
      <c r="D633" s="32" t="str">
        <f>IF('Importér data'!C644="type",'Importér data'!N644,"")</f>
        <v/>
      </c>
      <c r="E633" s="24"/>
      <c r="F633" s="45"/>
      <c r="G633" s="45"/>
      <c r="H633" s="24"/>
      <c r="I633" s="25" t="str">
        <f>IFERROR(($D633/50-_xlfn.XLOOKUP($E633,$O$35:$O$43,$T$35:$T$43)*F633)/$P$9,"")</f>
        <v/>
      </c>
      <c r="J633" s="25" t="str">
        <f>IFERROR(_xlfn.XLOOKUP($E633,$O$35:$O$43,$T$35:$T$43)*G633/$P$9,"")</f>
        <v/>
      </c>
      <c r="K633" s="25" t="str">
        <f>IF(E633=$O$43,($D633/50-$T$43*$P$9)/$P$9,"")</f>
        <v/>
      </c>
      <c r="L633" s="25" t="str">
        <f>IFERROR(($D633/50-_xlfn.XLOOKUP($H633,$O$48:$O$62,$T$48:$T$62)*$P$14)/$P$9,"")</f>
        <v/>
      </c>
      <c r="M633" s="14">
        <f t="shared" si="9"/>
        <v>0</v>
      </c>
    </row>
    <row r="634" spans="2:13" x14ac:dyDescent="0.25">
      <c r="B634" s="10" t="str">
        <f>IF('Importér data'!C645="type",'Importér data'!F645,"")</f>
        <v/>
      </c>
      <c r="C634" s="10">
        <f>'Importér data'!H645</f>
        <v>0</v>
      </c>
      <c r="D634" s="32" t="str">
        <f>IF('Importér data'!C645="type",'Importér data'!N645,"")</f>
        <v/>
      </c>
      <c r="E634" s="24"/>
      <c r="F634" s="45"/>
      <c r="G634" s="45"/>
      <c r="H634" s="24"/>
      <c r="I634" s="25" t="str">
        <f>IFERROR(($D634/50-_xlfn.XLOOKUP($E634,$O$35:$O$43,$T$35:$T$43)*F634)/$P$9,"")</f>
        <v/>
      </c>
      <c r="J634" s="25" t="str">
        <f>IFERROR(_xlfn.XLOOKUP($E634,$O$35:$O$43,$T$35:$T$43)*G634/$P$9,"")</f>
        <v/>
      </c>
      <c r="K634" s="25" t="str">
        <f>IF(E634=$O$43,($D634/50-$T$43*$P$9)/$P$9,"")</f>
        <v/>
      </c>
      <c r="L634" s="25" t="str">
        <f>IFERROR(($D634/50-_xlfn.XLOOKUP($H634,$O$48:$O$62,$T$48:$T$62)*$P$14)/$P$9,"")</f>
        <v/>
      </c>
      <c r="M634" s="14">
        <f t="shared" si="9"/>
        <v>0</v>
      </c>
    </row>
    <row r="635" spans="2:13" x14ac:dyDescent="0.25">
      <c r="B635" s="10" t="str">
        <f>IF('Importér data'!C646="type",'Importér data'!F646,"")</f>
        <v/>
      </c>
      <c r="C635" s="10">
        <f>'Importér data'!H646</f>
        <v>0</v>
      </c>
      <c r="D635" s="32" t="str">
        <f>IF('Importér data'!C646="type",'Importér data'!N646,"")</f>
        <v/>
      </c>
      <c r="E635" s="24"/>
      <c r="F635" s="45"/>
      <c r="G635" s="45"/>
      <c r="H635" s="24"/>
      <c r="I635" s="25" t="str">
        <f>IFERROR(($D635/50-_xlfn.XLOOKUP($E635,$O$35:$O$43,$T$35:$T$43)*F635)/$P$9,"")</f>
        <v/>
      </c>
      <c r="J635" s="25" t="str">
        <f>IFERROR(_xlfn.XLOOKUP($E635,$O$35:$O$43,$T$35:$T$43)*G635/$P$9,"")</f>
        <v/>
      </c>
      <c r="K635" s="25" t="str">
        <f>IF(E635=$O$43,($D635/50-$T$43*$P$9)/$P$9,"")</f>
        <v/>
      </c>
      <c r="L635" s="25" t="str">
        <f>IFERROR(($D635/50-_xlfn.XLOOKUP($H635,$O$48:$O$62,$T$48:$T$62)*$P$14)/$P$9,"")</f>
        <v/>
      </c>
      <c r="M635" s="14">
        <f t="shared" si="9"/>
        <v>0</v>
      </c>
    </row>
    <row r="636" spans="2:13" x14ac:dyDescent="0.25">
      <c r="B636" s="10" t="str">
        <f>IF('Importér data'!C647="type",'Importér data'!F647,"")</f>
        <v/>
      </c>
      <c r="C636" s="10">
        <f>'Importér data'!H647</f>
        <v>0</v>
      </c>
      <c r="D636" s="32" t="str">
        <f>IF('Importér data'!C647="type",'Importér data'!N647,"")</f>
        <v/>
      </c>
      <c r="E636" s="24"/>
      <c r="F636" s="45"/>
      <c r="G636" s="45"/>
      <c r="H636" s="24"/>
      <c r="I636" s="25" t="str">
        <f>IFERROR(($D636/50-_xlfn.XLOOKUP($E636,$O$35:$O$43,$T$35:$T$43)*F636)/$P$9,"")</f>
        <v/>
      </c>
      <c r="J636" s="25" t="str">
        <f>IFERROR(_xlfn.XLOOKUP($E636,$O$35:$O$43,$T$35:$T$43)*G636/$P$9,"")</f>
        <v/>
      </c>
      <c r="K636" s="25" t="str">
        <f>IF(E636=$O$43,($D636/50-$T$43*$P$9)/$P$9,"")</f>
        <v/>
      </c>
      <c r="L636" s="25" t="str">
        <f>IFERROR(($D636/50-_xlfn.XLOOKUP($H636,$O$48:$O$62,$T$48:$T$62)*$P$14)/$P$9,"")</f>
        <v/>
      </c>
      <c r="M636" s="14">
        <f t="shared" si="9"/>
        <v>0</v>
      </c>
    </row>
    <row r="637" spans="2:13" x14ac:dyDescent="0.25">
      <c r="B637" s="10" t="str">
        <f>IF('Importér data'!C648="type",'Importér data'!F648,"")</f>
        <v/>
      </c>
      <c r="C637" s="10">
        <f>'Importér data'!H648</f>
        <v>0</v>
      </c>
      <c r="D637" s="32" t="str">
        <f>IF('Importér data'!C648="type",'Importér data'!N648,"")</f>
        <v/>
      </c>
      <c r="E637" s="24"/>
      <c r="F637" s="45"/>
      <c r="G637" s="45"/>
      <c r="H637" s="24"/>
      <c r="I637" s="25" t="str">
        <f>IFERROR(($D637/50-_xlfn.XLOOKUP($E637,$O$35:$O$43,$T$35:$T$43)*F637)/$P$9,"")</f>
        <v/>
      </c>
      <c r="J637" s="25" t="str">
        <f>IFERROR(_xlfn.XLOOKUP($E637,$O$35:$O$43,$T$35:$T$43)*G637/$P$9,"")</f>
        <v/>
      </c>
      <c r="K637" s="25" t="str">
        <f>IF(E637=$O$43,($D637/50-$T$43*$P$9)/$P$9,"")</f>
        <v/>
      </c>
      <c r="L637" s="25" t="str">
        <f>IFERROR(($D637/50-_xlfn.XLOOKUP($H637,$O$48:$O$62,$T$48:$T$62)*$P$14)/$P$9,"")</f>
        <v/>
      </c>
      <c r="M637" s="14">
        <f t="shared" si="9"/>
        <v>0</v>
      </c>
    </row>
    <row r="638" spans="2:13" x14ac:dyDescent="0.25">
      <c r="B638" s="10" t="str">
        <f>IF('Importér data'!C649="type",'Importér data'!F649,"")</f>
        <v/>
      </c>
      <c r="C638" s="10">
        <f>'Importér data'!H649</f>
        <v>0</v>
      </c>
      <c r="D638" s="32" t="str">
        <f>IF('Importér data'!C649="type",'Importér data'!N649,"")</f>
        <v/>
      </c>
      <c r="E638" s="24"/>
      <c r="F638" s="45"/>
      <c r="G638" s="45"/>
      <c r="H638" s="24"/>
      <c r="I638" s="25" t="str">
        <f>IFERROR(($D638/50-_xlfn.XLOOKUP($E638,$O$35:$O$43,$T$35:$T$43)*F638)/$P$9,"")</f>
        <v/>
      </c>
      <c r="J638" s="25" t="str">
        <f>IFERROR(_xlfn.XLOOKUP($E638,$O$35:$O$43,$T$35:$T$43)*G638/$P$9,"")</f>
        <v/>
      </c>
      <c r="K638" s="25" t="str">
        <f>IF(E638=$O$43,($D638/50-$T$43*$P$9)/$P$9,"")</f>
        <v/>
      </c>
      <c r="L638" s="25" t="str">
        <f>IFERROR(($D638/50-_xlfn.XLOOKUP($H638,$O$48:$O$62,$T$48:$T$62)*$P$14)/$P$9,"")</f>
        <v/>
      </c>
      <c r="M638" s="14">
        <f t="shared" si="9"/>
        <v>0</v>
      </c>
    </row>
    <row r="639" spans="2:13" x14ac:dyDescent="0.25">
      <c r="B639" s="10" t="str">
        <f>IF('Importér data'!C650="type",'Importér data'!F650,"")</f>
        <v/>
      </c>
      <c r="C639" s="10">
        <f>'Importér data'!H650</f>
        <v>0</v>
      </c>
      <c r="D639" s="32" t="str">
        <f>IF('Importér data'!C650="type",'Importér data'!N650,"")</f>
        <v/>
      </c>
      <c r="E639" s="24"/>
      <c r="F639" s="45"/>
      <c r="G639" s="45"/>
      <c r="H639" s="24"/>
      <c r="I639" s="25" t="str">
        <f>IFERROR(($D639/50-_xlfn.XLOOKUP($E639,$O$35:$O$43,$T$35:$T$43)*F639)/$P$9,"")</f>
        <v/>
      </c>
      <c r="J639" s="25" t="str">
        <f>IFERROR(_xlfn.XLOOKUP($E639,$O$35:$O$43,$T$35:$T$43)*G639/$P$9,"")</f>
        <v/>
      </c>
      <c r="K639" s="25" t="str">
        <f>IF(E639=$O$43,($D639/50-$T$43*$P$9)/$P$9,"")</f>
        <v/>
      </c>
      <c r="L639" s="25" t="str">
        <f>IFERROR(($D639/50-_xlfn.XLOOKUP($H639,$O$48:$O$62,$T$48:$T$62)*$P$14)/$P$9,"")</f>
        <v/>
      </c>
      <c r="M639" s="14">
        <f t="shared" si="9"/>
        <v>0</v>
      </c>
    </row>
    <row r="640" spans="2:13" x14ac:dyDescent="0.25">
      <c r="B640" s="10" t="str">
        <f>IF('Importér data'!C651="type",'Importér data'!F651,"")</f>
        <v/>
      </c>
      <c r="C640" s="10">
        <f>'Importér data'!H651</f>
        <v>0</v>
      </c>
      <c r="D640" s="32" t="str">
        <f>IF('Importér data'!C651="type",'Importér data'!N651,"")</f>
        <v/>
      </c>
      <c r="E640" s="24"/>
      <c r="F640" s="45"/>
      <c r="G640" s="45"/>
      <c r="H640" s="24"/>
      <c r="I640" s="25" t="str">
        <f>IFERROR(($D640/50-_xlfn.XLOOKUP($E640,$O$35:$O$43,$T$35:$T$43)*F640)/$P$9,"")</f>
        <v/>
      </c>
      <c r="J640" s="25" t="str">
        <f>IFERROR(_xlfn.XLOOKUP($E640,$O$35:$O$43,$T$35:$T$43)*G640/$P$9,"")</f>
        <v/>
      </c>
      <c r="K640" s="25" t="str">
        <f>IF(E640=$O$43,($D640/50-$T$43*$P$9)/$P$9,"")</f>
        <v/>
      </c>
      <c r="L640" s="25" t="str">
        <f>IFERROR(($D640/50-_xlfn.XLOOKUP($H640,$O$48:$O$62,$T$48:$T$62)*$P$14)/$P$9,"")</f>
        <v/>
      </c>
      <c r="M640" s="14">
        <f t="shared" si="9"/>
        <v>0</v>
      </c>
    </row>
    <row r="641" spans="2:13" x14ac:dyDescent="0.25">
      <c r="B641" s="10" t="str">
        <f>IF('Importér data'!C652="type",'Importér data'!F652,"")</f>
        <v/>
      </c>
      <c r="C641" s="10">
        <f>'Importér data'!H652</f>
        <v>0</v>
      </c>
      <c r="D641" s="32" t="str">
        <f>IF('Importér data'!C652="type",'Importér data'!N652,"")</f>
        <v/>
      </c>
      <c r="E641" s="24"/>
      <c r="F641" s="45"/>
      <c r="G641" s="45"/>
      <c r="H641" s="24"/>
      <c r="I641" s="25" t="str">
        <f>IFERROR(($D641/50-_xlfn.XLOOKUP($E641,$O$35:$O$43,$T$35:$T$43)*F641)/$P$9,"")</f>
        <v/>
      </c>
      <c r="J641" s="25" t="str">
        <f>IFERROR(_xlfn.XLOOKUP($E641,$O$35:$O$43,$T$35:$T$43)*G641/$P$9,"")</f>
        <v/>
      </c>
      <c r="K641" s="25" t="str">
        <f>IF(E641=$O$43,($D641/50-$T$43*$P$9)/$P$9,"")</f>
        <v/>
      </c>
      <c r="L641" s="25" t="str">
        <f>IFERROR(($D641/50-_xlfn.XLOOKUP($H641,$O$48:$O$62,$T$48:$T$62)*$P$14)/$P$9,"")</f>
        <v/>
      </c>
      <c r="M641" s="14">
        <f t="shared" si="9"/>
        <v>0</v>
      </c>
    </row>
    <row r="642" spans="2:13" x14ac:dyDescent="0.25">
      <c r="B642" s="10" t="str">
        <f>IF('Importér data'!C653="type",'Importér data'!F653,"")</f>
        <v/>
      </c>
      <c r="C642" s="10">
        <f>'Importér data'!H653</f>
        <v>0</v>
      </c>
      <c r="D642" s="32" t="str">
        <f>IF('Importér data'!C653="type",'Importér data'!N653,"")</f>
        <v/>
      </c>
      <c r="E642" s="24"/>
      <c r="F642" s="45"/>
      <c r="G642" s="45"/>
      <c r="H642" s="24"/>
      <c r="I642" s="25" t="str">
        <f>IFERROR(($D642/50-_xlfn.XLOOKUP($E642,$O$35:$O$43,$T$35:$T$43)*F642)/$P$9,"")</f>
        <v/>
      </c>
      <c r="J642" s="25" t="str">
        <f>IFERROR(_xlfn.XLOOKUP($E642,$O$35:$O$43,$T$35:$T$43)*G642/$P$9,"")</f>
        <v/>
      </c>
      <c r="K642" s="25" t="str">
        <f>IF(E642=$O$43,($D642/50-$T$43*$P$9)/$P$9,"")</f>
        <v/>
      </c>
      <c r="L642" s="25" t="str">
        <f>IFERROR(($D642/50-_xlfn.XLOOKUP($H642,$O$48:$O$62,$T$48:$T$62)*$P$14)/$P$9,"")</f>
        <v/>
      </c>
      <c r="M642" s="14">
        <f t="shared" si="9"/>
        <v>0</v>
      </c>
    </row>
    <row r="643" spans="2:13" x14ac:dyDescent="0.25">
      <c r="B643" s="10" t="str">
        <f>IF('Importér data'!C654="type",'Importér data'!F654,"")</f>
        <v/>
      </c>
      <c r="C643" s="10">
        <f>'Importér data'!H654</f>
        <v>0</v>
      </c>
      <c r="D643" s="32" t="str">
        <f>IF('Importér data'!C654="type",'Importér data'!N654,"")</f>
        <v/>
      </c>
      <c r="E643" s="24"/>
      <c r="F643" s="45"/>
      <c r="G643" s="45"/>
      <c r="H643" s="24"/>
      <c r="I643" s="25" t="str">
        <f>IFERROR(($D643/50-_xlfn.XLOOKUP($E643,$O$35:$O$43,$T$35:$T$43)*F643)/$P$9,"")</f>
        <v/>
      </c>
      <c r="J643" s="25" t="str">
        <f>IFERROR(_xlfn.XLOOKUP($E643,$O$35:$O$43,$T$35:$T$43)*G643/$P$9,"")</f>
        <v/>
      </c>
      <c r="K643" s="25" t="str">
        <f>IF(E643=$O$43,($D643/50-$T$43*$P$9)/$P$9,"")</f>
        <v/>
      </c>
      <c r="L643" s="25" t="str">
        <f>IFERROR(($D643/50-_xlfn.XLOOKUP($H643,$O$48:$O$62,$T$48:$T$62)*$P$14)/$P$9,"")</f>
        <v/>
      </c>
      <c r="M643" s="14">
        <f t="shared" si="9"/>
        <v>0</v>
      </c>
    </row>
    <row r="644" spans="2:13" x14ac:dyDescent="0.25">
      <c r="B644" s="10" t="str">
        <f>IF('Importér data'!C655="type",'Importér data'!F655,"")</f>
        <v/>
      </c>
      <c r="C644" s="10">
        <f>'Importér data'!H655</f>
        <v>0</v>
      </c>
      <c r="D644" s="32" t="str">
        <f>IF('Importér data'!C655="type",'Importér data'!N655,"")</f>
        <v/>
      </c>
      <c r="E644" s="24"/>
      <c r="F644" s="45"/>
      <c r="G644" s="45"/>
      <c r="H644" s="24"/>
      <c r="I644" s="25" t="str">
        <f>IFERROR(($D644/50-_xlfn.XLOOKUP($E644,$O$35:$O$43,$T$35:$T$43)*F644)/$P$9,"")</f>
        <v/>
      </c>
      <c r="J644" s="25" t="str">
        <f>IFERROR(_xlfn.XLOOKUP($E644,$O$35:$O$43,$T$35:$T$43)*G644/$P$9,"")</f>
        <v/>
      </c>
      <c r="K644" s="25" t="str">
        <f>IF(E644=$O$43,($D644/50-$T$43*$P$9)/$P$9,"")</f>
        <v/>
      </c>
      <c r="L644" s="25" t="str">
        <f>IFERROR(($D644/50-_xlfn.XLOOKUP($H644,$O$48:$O$62,$T$48:$T$62)*$P$14)/$P$9,"")</f>
        <v/>
      </c>
      <c r="M644" s="14">
        <f t="shared" si="9"/>
        <v>0</v>
      </c>
    </row>
    <row r="645" spans="2:13" x14ac:dyDescent="0.25">
      <c r="B645" s="10" t="str">
        <f>IF('Importér data'!C656="type",'Importér data'!F656,"")</f>
        <v/>
      </c>
      <c r="C645" s="10">
        <f>'Importér data'!H656</f>
        <v>0</v>
      </c>
      <c r="D645" s="32" t="str">
        <f>IF('Importér data'!C656="type",'Importér data'!N656,"")</f>
        <v/>
      </c>
      <c r="E645" s="24"/>
      <c r="F645" s="45"/>
      <c r="G645" s="45"/>
      <c r="H645" s="24"/>
      <c r="I645" s="25" t="str">
        <f>IFERROR(($D645/50-_xlfn.XLOOKUP($E645,$O$35:$O$43,$T$35:$T$43)*F645)/$P$9,"")</f>
        <v/>
      </c>
      <c r="J645" s="25" t="str">
        <f>IFERROR(_xlfn.XLOOKUP($E645,$O$35:$O$43,$T$35:$T$43)*G645/$P$9,"")</f>
        <v/>
      </c>
      <c r="K645" s="25" t="str">
        <f>IF(E645=$O$43,($D645/50-$T$43*$P$9)/$P$9,"")</f>
        <v/>
      </c>
      <c r="L645" s="25" t="str">
        <f>IFERROR(($D645/50-_xlfn.XLOOKUP($H645,$O$48:$O$62,$T$48:$T$62)*$P$14)/$P$9,"")</f>
        <v/>
      </c>
      <c r="M645" s="14">
        <f t="shared" si="9"/>
        <v>0</v>
      </c>
    </row>
    <row r="646" spans="2:13" x14ac:dyDescent="0.25">
      <c r="B646" s="10" t="str">
        <f>IF('Importér data'!C657="type",'Importér data'!F657,"")</f>
        <v/>
      </c>
      <c r="C646" s="10">
        <f>'Importér data'!H657</f>
        <v>0</v>
      </c>
      <c r="D646" s="32" t="str">
        <f>IF('Importér data'!C657="type",'Importér data'!N657,"")</f>
        <v/>
      </c>
      <c r="E646" s="24"/>
      <c r="F646" s="45"/>
      <c r="G646" s="45"/>
      <c r="H646" s="24"/>
      <c r="I646" s="25" t="str">
        <f>IFERROR(($D646/50-_xlfn.XLOOKUP($E646,$O$35:$O$43,$T$35:$T$43)*F646)/$P$9,"")</f>
        <v/>
      </c>
      <c r="J646" s="25" t="str">
        <f>IFERROR(_xlfn.XLOOKUP($E646,$O$35:$O$43,$T$35:$T$43)*G646/$P$9,"")</f>
        <v/>
      </c>
      <c r="K646" s="25" t="str">
        <f>IF(E646=$O$43,($D646/50-$T$43*$P$9)/$P$9,"")</f>
        <v/>
      </c>
      <c r="L646" s="25" t="str">
        <f>IFERROR(($D646/50-_xlfn.XLOOKUP($H646,$O$48:$O$62,$T$48:$T$62)*$P$14)/$P$9,"")</f>
        <v/>
      </c>
      <c r="M646" s="14">
        <f t="shared" ref="M646:M709" si="10">SUM(I646:L646)</f>
        <v>0</v>
      </c>
    </row>
    <row r="647" spans="2:13" x14ac:dyDescent="0.25">
      <c r="B647" s="10" t="str">
        <f>IF('Importér data'!C658="type",'Importér data'!F658,"")</f>
        <v/>
      </c>
      <c r="C647" s="10">
        <f>'Importér data'!H658</f>
        <v>0</v>
      </c>
      <c r="D647" s="32" t="str">
        <f>IF('Importér data'!C658="type",'Importér data'!N658,"")</f>
        <v/>
      </c>
      <c r="E647" s="24"/>
      <c r="F647" s="45"/>
      <c r="G647" s="45"/>
      <c r="H647" s="24"/>
      <c r="I647" s="25" t="str">
        <f>IFERROR(($D647/50-_xlfn.XLOOKUP($E647,$O$35:$O$43,$T$35:$T$43)*F647)/$P$9,"")</f>
        <v/>
      </c>
      <c r="J647" s="25" t="str">
        <f>IFERROR(_xlfn.XLOOKUP($E647,$O$35:$O$43,$T$35:$T$43)*G647/$P$9,"")</f>
        <v/>
      </c>
      <c r="K647" s="25" t="str">
        <f>IF(E647=$O$43,($D647/50-$T$43*$P$9)/$P$9,"")</f>
        <v/>
      </c>
      <c r="L647" s="25" t="str">
        <f>IFERROR(($D647/50-_xlfn.XLOOKUP($H647,$O$48:$O$62,$T$48:$T$62)*$P$14)/$P$9,"")</f>
        <v/>
      </c>
      <c r="M647" s="14">
        <f t="shared" si="10"/>
        <v>0</v>
      </c>
    </row>
    <row r="648" spans="2:13" x14ac:dyDescent="0.25">
      <c r="B648" s="10" t="str">
        <f>IF('Importér data'!C659="type",'Importér data'!F659,"")</f>
        <v/>
      </c>
      <c r="C648" s="10">
        <f>'Importér data'!H659</f>
        <v>0</v>
      </c>
      <c r="D648" s="32" t="str">
        <f>IF('Importér data'!C659="type",'Importér data'!N659,"")</f>
        <v/>
      </c>
      <c r="E648" s="24"/>
      <c r="F648" s="45"/>
      <c r="G648" s="45"/>
      <c r="H648" s="24"/>
      <c r="I648" s="25" t="str">
        <f>IFERROR(($D648/50-_xlfn.XLOOKUP($E648,$O$35:$O$43,$T$35:$T$43)*F648)/$P$9,"")</f>
        <v/>
      </c>
      <c r="J648" s="25" t="str">
        <f>IFERROR(_xlfn.XLOOKUP($E648,$O$35:$O$43,$T$35:$T$43)*G648/$P$9,"")</f>
        <v/>
      </c>
      <c r="K648" s="25" t="str">
        <f>IF(E648=$O$43,($D648/50-$T$43*$P$9)/$P$9,"")</f>
        <v/>
      </c>
      <c r="L648" s="25" t="str">
        <f>IFERROR(($D648/50-_xlfn.XLOOKUP($H648,$O$48:$O$62,$T$48:$T$62)*$P$14)/$P$9,"")</f>
        <v/>
      </c>
      <c r="M648" s="14">
        <f t="shared" si="10"/>
        <v>0</v>
      </c>
    </row>
    <row r="649" spans="2:13" x14ac:dyDescent="0.25">
      <c r="B649" s="10" t="str">
        <f>IF('Importér data'!C660="type",'Importér data'!F660,"")</f>
        <v/>
      </c>
      <c r="C649" s="10">
        <f>'Importér data'!H660</f>
        <v>0</v>
      </c>
      <c r="D649" s="32" t="str">
        <f>IF('Importér data'!C660="type",'Importér data'!N660,"")</f>
        <v/>
      </c>
      <c r="E649" s="24"/>
      <c r="F649" s="45"/>
      <c r="G649" s="45"/>
      <c r="H649" s="24"/>
      <c r="I649" s="25" t="str">
        <f>IFERROR(($D649/50-_xlfn.XLOOKUP($E649,$O$35:$O$43,$T$35:$T$43)*F649)/$P$9,"")</f>
        <v/>
      </c>
      <c r="J649" s="25" t="str">
        <f>IFERROR(_xlfn.XLOOKUP($E649,$O$35:$O$43,$T$35:$T$43)*G649/$P$9,"")</f>
        <v/>
      </c>
      <c r="K649" s="25" t="str">
        <f>IF(E649=$O$43,($D649/50-$T$43*$P$9)/$P$9,"")</f>
        <v/>
      </c>
      <c r="L649" s="25" t="str">
        <f>IFERROR(($D649/50-_xlfn.XLOOKUP($H649,$O$48:$O$62,$T$48:$T$62)*$P$14)/$P$9,"")</f>
        <v/>
      </c>
      <c r="M649" s="14">
        <f t="shared" si="10"/>
        <v>0</v>
      </c>
    </row>
    <row r="650" spans="2:13" x14ac:dyDescent="0.25">
      <c r="B650" s="10" t="str">
        <f>IF('Importér data'!C661="type",'Importér data'!F661,"")</f>
        <v/>
      </c>
      <c r="C650" s="10">
        <f>'Importér data'!H661</f>
        <v>0</v>
      </c>
      <c r="D650" s="32" t="str">
        <f>IF('Importér data'!C661="type",'Importér data'!N661,"")</f>
        <v/>
      </c>
      <c r="E650" s="24"/>
      <c r="F650" s="45"/>
      <c r="G650" s="45"/>
      <c r="H650" s="24"/>
      <c r="I650" s="25" t="str">
        <f>IFERROR(($D650/50-_xlfn.XLOOKUP($E650,$O$35:$O$43,$T$35:$T$43)*F650)/$P$9,"")</f>
        <v/>
      </c>
      <c r="J650" s="25" t="str">
        <f>IFERROR(_xlfn.XLOOKUP($E650,$O$35:$O$43,$T$35:$T$43)*G650/$P$9,"")</f>
        <v/>
      </c>
      <c r="K650" s="25" t="str">
        <f>IF(E650=$O$43,($D650/50-$T$43*$P$9)/$P$9,"")</f>
        <v/>
      </c>
      <c r="L650" s="25" t="str">
        <f>IFERROR(($D650/50-_xlfn.XLOOKUP($H650,$O$48:$O$62,$T$48:$T$62)*$P$14)/$P$9,"")</f>
        <v/>
      </c>
      <c r="M650" s="14">
        <f t="shared" si="10"/>
        <v>0</v>
      </c>
    </row>
    <row r="651" spans="2:13" x14ac:dyDescent="0.25">
      <c r="B651" s="10" t="str">
        <f>IF('Importér data'!C662="type",'Importér data'!F662,"")</f>
        <v/>
      </c>
      <c r="C651" s="10">
        <f>'Importér data'!H662</f>
        <v>0</v>
      </c>
      <c r="D651" s="32" t="str">
        <f>IF('Importér data'!C662="type",'Importér data'!N662,"")</f>
        <v/>
      </c>
      <c r="E651" s="24"/>
      <c r="F651" s="45"/>
      <c r="G651" s="45"/>
      <c r="H651" s="24"/>
      <c r="I651" s="25" t="str">
        <f>IFERROR(($D651/50-_xlfn.XLOOKUP($E651,$O$35:$O$43,$T$35:$T$43)*F651)/$P$9,"")</f>
        <v/>
      </c>
      <c r="J651" s="25" t="str">
        <f>IFERROR(_xlfn.XLOOKUP($E651,$O$35:$O$43,$T$35:$T$43)*G651/$P$9,"")</f>
        <v/>
      </c>
      <c r="K651" s="25" t="str">
        <f>IF(E651=$O$43,($D651/50-$T$43*$P$9)/$P$9,"")</f>
        <v/>
      </c>
      <c r="L651" s="25" t="str">
        <f>IFERROR(($D651/50-_xlfn.XLOOKUP($H651,$O$48:$O$62,$T$48:$T$62)*$P$14)/$P$9,"")</f>
        <v/>
      </c>
      <c r="M651" s="14">
        <f t="shared" si="10"/>
        <v>0</v>
      </c>
    </row>
    <row r="652" spans="2:13" x14ac:dyDescent="0.25">
      <c r="B652" s="10" t="str">
        <f>IF('Importér data'!C663="type",'Importér data'!F663,"")</f>
        <v/>
      </c>
      <c r="C652" s="10">
        <f>'Importér data'!H663</f>
        <v>0</v>
      </c>
      <c r="D652" s="32" t="str">
        <f>IF('Importér data'!C663="type",'Importér data'!N663,"")</f>
        <v/>
      </c>
      <c r="E652" s="24"/>
      <c r="F652" s="45"/>
      <c r="G652" s="45"/>
      <c r="H652" s="24"/>
      <c r="I652" s="25" t="str">
        <f>IFERROR(($D652/50-_xlfn.XLOOKUP($E652,$O$35:$O$43,$T$35:$T$43)*F652)/$P$9,"")</f>
        <v/>
      </c>
      <c r="J652" s="25" t="str">
        <f>IFERROR(_xlfn.XLOOKUP($E652,$O$35:$O$43,$T$35:$T$43)*G652/$P$9,"")</f>
        <v/>
      </c>
      <c r="K652" s="25" t="str">
        <f>IF(E652=$O$43,($D652/50-$T$43*$P$9)/$P$9,"")</f>
        <v/>
      </c>
      <c r="L652" s="25" t="str">
        <f>IFERROR(($D652/50-_xlfn.XLOOKUP($H652,$O$48:$O$62,$T$48:$T$62)*$P$14)/$P$9,"")</f>
        <v/>
      </c>
      <c r="M652" s="14">
        <f t="shared" si="10"/>
        <v>0</v>
      </c>
    </row>
    <row r="653" spans="2:13" x14ac:dyDescent="0.25">
      <c r="B653" s="10" t="str">
        <f>IF('Importér data'!C664="type",'Importér data'!F664,"")</f>
        <v/>
      </c>
      <c r="C653" s="10">
        <f>'Importér data'!H664</f>
        <v>0</v>
      </c>
      <c r="D653" s="32" t="str">
        <f>IF('Importér data'!C664="type",'Importér data'!N664,"")</f>
        <v/>
      </c>
      <c r="E653" s="24"/>
      <c r="F653" s="45"/>
      <c r="G653" s="45"/>
      <c r="H653" s="24"/>
      <c r="I653" s="25" t="str">
        <f>IFERROR(($D653/50-_xlfn.XLOOKUP($E653,$O$35:$O$43,$T$35:$T$43)*F653)/$P$9,"")</f>
        <v/>
      </c>
      <c r="J653" s="25" t="str">
        <f>IFERROR(_xlfn.XLOOKUP($E653,$O$35:$O$43,$T$35:$T$43)*G653/$P$9,"")</f>
        <v/>
      </c>
      <c r="K653" s="25" t="str">
        <f>IF(E653=$O$43,($D653/50-$T$43*$P$9)/$P$9,"")</f>
        <v/>
      </c>
      <c r="L653" s="25" t="str">
        <f>IFERROR(($D653/50-_xlfn.XLOOKUP($H653,$O$48:$O$62,$T$48:$T$62)*$P$14)/$P$9,"")</f>
        <v/>
      </c>
      <c r="M653" s="14">
        <f t="shared" si="10"/>
        <v>0</v>
      </c>
    </row>
    <row r="654" spans="2:13" x14ac:dyDescent="0.25">
      <c r="B654" s="10" t="str">
        <f>IF('Importér data'!C665="type",'Importér data'!F665,"")</f>
        <v/>
      </c>
      <c r="C654" s="10">
        <f>'Importér data'!H665</f>
        <v>0</v>
      </c>
      <c r="D654" s="32" t="str">
        <f>IF('Importér data'!C665="type",'Importér data'!N665,"")</f>
        <v/>
      </c>
      <c r="E654" s="24"/>
      <c r="F654" s="45"/>
      <c r="G654" s="45"/>
      <c r="H654" s="24"/>
      <c r="I654" s="25" t="str">
        <f>IFERROR(($D654/50-_xlfn.XLOOKUP($E654,$O$35:$O$43,$T$35:$T$43)*F654)/$P$9,"")</f>
        <v/>
      </c>
      <c r="J654" s="25" t="str">
        <f>IFERROR(_xlfn.XLOOKUP($E654,$O$35:$O$43,$T$35:$T$43)*G654/$P$9,"")</f>
        <v/>
      </c>
      <c r="K654" s="25" t="str">
        <f>IF(E654=$O$43,($D654/50-$T$43*$P$9)/$P$9,"")</f>
        <v/>
      </c>
      <c r="L654" s="25" t="str">
        <f>IFERROR(($D654/50-_xlfn.XLOOKUP($H654,$O$48:$O$62,$T$48:$T$62)*$P$14)/$P$9,"")</f>
        <v/>
      </c>
      <c r="M654" s="14">
        <f t="shared" si="10"/>
        <v>0</v>
      </c>
    </row>
    <row r="655" spans="2:13" x14ac:dyDescent="0.25">
      <c r="B655" s="10" t="str">
        <f>IF('Importér data'!C666="type",'Importér data'!F666,"")</f>
        <v/>
      </c>
      <c r="C655" s="10">
        <f>'Importér data'!H666</f>
        <v>0</v>
      </c>
      <c r="D655" s="32" t="str">
        <f>IF('Importér data'!C666="type",'Importér data'!N666,"")</f>
        <v/>
      </c>
      <c r="E655" s="24"/>
      <c r="F655" s="45"/>
      <c r="G655" s="45"/>
      <c r="H655" s="24"/>
      <c r="I655" s="25" t="str">
        <f>IFERROR(($D655/50-_xlfn.XLOOKUP($E655,$O$35:$O$43,$T$35:$T$43)*F655)/$P$9,"")</f>
        <v/>
      </c>
      <c r="J655" s="25" t="str">
        <f>IFERROR(_xlfn.XLOOKUP($E655,$O$35:$O$43,$T$35:$T$43)*G655/$P$9,"")</f>
        <v/>
      </c>
      <c r="K655" s="25" t="str">
        <f>IF(E655=$O$43,($D655/50-$T$43*$P$9)/$P$9,"")</f>
        <v/>
      </c>
      <c r="L655" s="25" t="str">
        <f>IFERROR(($D655/50-_xlfn.XLOOKUP($H655,$O$48:$O$62,$T$48:$T$62)*$P$14)/$P$9,"")</f>
        <v/>
      </c>
      <c r="M655" s="14">
        <f t="shared" si="10"/>
        <v>0</v>
      </c>
    </row>
    <row r="656" spans="2:13" x14ac:dyDescent="0.25">
      <c r="B656" s="10" t="str">
        <f>IF('Importér data'!C667="type",'Importér data'!F667,"")</f>
        <v/>
      </c>
      <c r="C656" s="10">
        <f>'Importér data'!H667</f>
        <v>0</v>
      </c>
      <c r="D656" s="32" t="str">
        <f>IF('Importér data'!C667="type",'Importér data'!N667,"")</f>
        <v/>
      </c>
      <c r="E656" s="24"/>
      <c r="F656" s="45"/>
      <c r="G656" s="45"/>
      <c r="H656" s="24"/>
      <c r="I656" s="25" t="str">
        <f>IFERROR(($D656/50-_xlfn.XLOOKUP($E656,$O$35:$O$43,$T$35:$T$43)*F656)/$P$9,"")</f>
        <v/>
      </c>
      <c r="J656" s="25" t="str">
        <f>IFERROR(_xlfn.XLOOKUP($E656,$O$35:$O$43,$T$35:$T$43)*G656/$P$9,"")</f>
        <v/>
      </c>
      <c r="K656" s="25" t="str">
        <f>IF(E656=$O$43,($D656/50-$T$43*$P$9)/$P$9,"")</f>
        <v/>
      </c>
      <c r="L656" s="25" t="str">
        <f>IFERROR(($D656/50-_xlfn.XLOOKUP($H656,$O$48:$O$62,$T$48:$T$62)*$P$14)/$P$9,"")</f>
        <v/>
      </c>
      <c r="M656" s="14">
        <f t="shared" si="10"/>
        <v>0</v>
      </c>
    </row>
    <row r="657" spans="2:13" x14ac:dyDescent="0.25">
      <c r="B657" s="10" t="str">
        <f>IF('Importér data'!C668="type",'Importér data'!F668,"")</f>
        <v/>
      </c>
      <c r="C657" s="10">
        <f>'Importér data'!H668</f>
        <v>0</v>
      </c>
      <c r="D657" s="32" t="str">
        <f>IF('Importér data'!C668="type",'Importér data'!N668,"")</f>
        <v/>
      </c>
      <c r="E657" s="24"/>
      <c r="F657" s="45"/>
      <c r="G657" s="45"/>
      <c r="H657" s="24"/>
      <c r="I657" s="25" t="str">
        <f>IFERROR(($D657/50-_xlfn.XLOOKUP($E657,$O$35:$O$43,$T$35:$T$43)*F657)/$P$9,"")</f>
        <v/>
      </c>
      <c r="J657" s="25" t="str">
        <f>IFERROR(_xlfn.XLOOKUP($E657,$O$35:$O$43,$T$35:$T$43)*G657/$P$9,"")</f>
        <v/>
      </c>
      <c r="K657" s="25" t="str">
        <f>IF(E657=$O$43,($D657/50-$T$43*$P$9)/$P$9,"")</f>
        <v/>
      </c>
      <c r="L657" s="25" t="str">
        <f>IFERROR(($D657/50-_xlfn.XLOOKUP($H657,$O$48:$O$62,$T$48:$T$62)*$P$14)/$P$9,"")</f>
        <v/>
      </c>
      <c r="M657" s="14">
        <f t="shared" si="10"/>
        <v>0</v>
      </c>
    </row>
    <row r="658" spans="2:13" x14ac:dyDescent="0.25">
      <c r="B658" s="10" t="str">
        <f>IF('Importér data'!C669="type",'Importér data'!F669,"")</f>
        <v/>
      </c>
      <c r="C658" s="10">
        <f>'Importér data'!H669</f>
        <v>0</v>
      </c>
      <c r="D658" s="32" t="str">
        <f>IF('Importér data'!C669="type",'Importér data'!N669,"")</f>
        <v/>
      </c>
      <c r="E658" s="24"/>
      <c r="F658" s="45"/>
      <c r="G658" s="45"/>
      <c r="H658" s="24"/>
      <c r="I658" s="25" t="str">
        <f>IFERROR(($D658/50-_xlfn.XLOOKUP($E658,$O$35:$O$43,$T$35:$T$43)*F658)/$P$9,"")</f>
        <v/>
      </c>
      <c r="J658" s="25" t="str">
        <f>IFERROR(_xlfn.XLOOKUP($E658,$O$35:$O$43,$T$35:$T$43)*G658/$P$9,"")</f>
        <v/>
      </c>
      <c r="K658" s="25" t="str">
        <f>IF(E658=$O$43,($D658/50-$T$43*$P$9)/$P$9,"")</f>
        <v/>
      </c>
      <c r="L658" s="25" t="str">
        <f>IFERROR(($D658/50-_xlfn.XLOOKUP($H658,$O$48:$O$62,$T$48:$T$62)*$P$14)/$P$9,"")</f>
        <v/>
      </c>
      <c r="M658" s="14">
        <f t="shared" si="10"/>
        <v>0</v>
      </c>
    </row>
    <row r="659" spans="2:13" x14ac:dyDescent="0.25">
      <c r="B659" s="10" t="str">
        <f>IF('Importér data'!C670="type",'Importér data'!F670,"")</f>
        <v/>
      </c>
      <c r="C659" s="10">
        <f>'Importér data'!H670</f>
        <v>0</v>
      </c>
      <c r="D659" s="32" t="str">
        <f>IF('Importér data'!C670="type",'Importér data'!N670,"")</f>
        <v/>
      </c>
      <c r="E659" s="24"/>
      <c r="F659" s="45"/>
      <c r="G659" s="45"/>
      <c r="H659" s="24"/>
      <c r="I659" s="25" t="str">
        <f>IFERROR(($D659/50-_xlfn.XLOOKUP($E659,$O$35:$O$43,$T$35:$T$43)*F659)/$P$9,"")</f>
        <v/>
      </c>
      <c r="J659" s="25" t="str">
        <f>IFERROR(_xlfn.XLOOKUP($E659,$O$35:$O$43,$T$35:$T$43)*G659/$P$9,"")</f>
        <v/>
      </c>
      <c r="K659" s="25" t="str">
        <f>IF(E659=$O$43,($D659/50-$T$43*$P$9)/$P$9,"")</f>
        <v/>
      </c>
      <c r="L659" s="25" t="str">
        <f>IFERROR(($D659/50-_xlfn.XLOOKUP($H659,$O$48:$O$62,$T$48:$T$62)*$P$14)/$P$9,"")</f>
        <v/>
      </c>
      <c r="M659" s="14">
        <f t="shared" si="10"/>
        <v>0</v>
      </c>
    </row>
    <row r="660" spans="2:13" x14ac:dyDescent="0.25">
      <c r="B660" s="10" t="str">
        <f>IF('Importér data'!C671="type",'Importér data'!F671,"")</f>
        <v/>
      </c>
      <c r="C660" s="10">
        <f>'Importér data'!H671</f>
        <v>0</v>
      </c>
      <c r="D660" s="32" t="str">
        <f>IF('Importér data'!C671="type",'Importér data'!N671,"")</f>
        <v/>
      </c>
      <c r="E660" s="24"/>
      <c r="F660" s="45"/>
      <c r="G660" s="45"/>
      <c r="H660" s="24"/>
      <c r="I660" s="25" t="str">
        <f>IFERROR(($D660/50-_xlfn.XLOOKUP($E660,$O$35:$O$43,$T$35:$T$43)*F660)/$P$9,"")</f>
        <v/>
      </c>
      <c r="J660" s="25" t="str">
        <f>IFERROR(_xlfn.XLOOKUP($E660,$O$35:$O$43,$T$35:$T$43)*G660/$P$9,"")</f>
        <v/>
      </c>
      <c r="K660" s="25" t="str">
        <f>IF(E660=$O$43,($D660/50-$T$43*$P$9)/$P$9,"")</f>
        <v/>
      </c>
      <c r="L660" s="25" t="str">
        <f>IFERROR(($D660/50-_xlfn.XLOOKUP($H660,$O$48:$O$62,$T$48:$T$62)*$P$14)/$P$9,"")</f>
        <v/>
      </c>
      <c r="M660" s="14">
        <f t="shared" si="10"/>
        <v>0</v>
      </c>
    </row>
    <row r="661" spans="2:13" x14ac:dyDescent="0.25">
      <c r="B661" s="10" t="str">
        <f>IF('Importér data'!C672="type",'Importér data'!F672,"")</f>
        <v/>
      </c>
      <c r="C661" s="10">
        <f>'Importér data'!H672</f>
        <v>0</v>
      </c>
      <c r="D661" s="32" t="str">
        <f>IF('Importér data'!C672="type",'Importér data'!N672,"")</f>
        <v/>
      </c>
      <c r="E661" s="24"/>
      <c r="F661" s="45"/>
      <c r="G661" s="45"/>
      <c r="H661" s="24"/>
      <c r="I661" s="25" t="str">
        <f>IFERROR(($D661/50-_xlfn.XLOOKUP($E661,$O$35:$O$43,$T$35:$T$43)*F661)/$P$9,"")</f>
        <v/>
      </c>
      <c r="J661" s="25" t="str">
        <f>IFERROR(_xlfn.XLOOKUP($E661,$O$35:$O$43,$T$35:$T$43)*G661/$P$9,"")</f>
        <v/>
      </c>
      <c r="K661" s="25" t="str">
        <f>IF(E661=$O$43,($D661/50-$T$43*$P$9)/$P$9,"")</f>
        <v/>
      </c>
      <c r="L661" s="25" t="str">
        <f>IFERROR(($D661/50-_xlfn.XLOOKUP($H661,$O$48:$O$62,$T$48:$T$62)*$P$14)/$P$9,"")</f>
        <v/>
      </c>
      <c r="M661" s="14">
        <f t="shared" si="10"/>
        <v>0</v>
      </c>
    </row>
    <row r="662" spans="2:13" x14ac:dyDescent="0.25">
      <c r="B662" s="10" t="str">
        <f>IF('Importér data'!C673="type",'Importér data'!F673,"")</f>
        <v/>
      </c>
      <c r="C662" s="10">
        <f>'Importér data'!H673</f>
        <v>0</v>
      </c>
      <c r="D662" s="32" t="str">
        <f>IF('Importér data'!C673="type",'Importér data'!N673,"")</f>
        <v/>
      </c>
      <c r="E662" s="24"/>
      <c r="F662" s="45"/>
      <c r="G662" s="45"/>
      <c r="H662" s="24"/>
      <c r="I662" s="25" t="str">
        <f>IFERROR(($D662/50-_xlfn.XLOOKUP($E662,$O$35:$O$43,$T$35:$T$43)*F662)/$P$9,"")</f>
        <v/>
      </c>
      <c r="J662" s="25" t="str">
        <f>IFERROR(_xlfn.XLOOKUP($E662,$O$35:$O$43,$T$35:$T$43)*G662/$P$9,"")</f>
        <v/>
      </c>
      <c r="K662" s="25" t="str">
        <f>IF(E662=$O$43,($D662/50-$T$43*$P$9)/$P$9,"")</f>
        <v/>
      </c>
      <c r="L662" s="25" t="str">
        <f>IFERROR(($D662/50-_xlfn.XLOOKUP($H662,$O$48:$O$62,$T$48:$T$62)*$P$14)/$P$9,"")</f>
        <v/>
      </c>
      <c r="M662" s="14">
        <f t="shared" si="10"/>
        <v>0</v>
      </c>
    </row>
    <row r="663" spans="2:13" x14ac:dyDescent="0.25">
      <c r="B663" s="10" t="str">
        <f>IF('Importér data'!C674="type",'Importér data'!F674,"")</f>
        <v/>
      </c>
      <c r="C663" s="10">
        <f>'Importér data'!H674</f>
        <v>0</v>
      </c>
      <c r="D663" s="32" t="str">
        <f>IF('Importér data'!C674="type",'Importér data'!N674,"")</f>
        <v/>
      </c>
      <c r="E663" s="24"/>
      <c r="F663" s="45"/>
      <c r="G663" s="45"/>
      <c r="H663" s="24"/>
      <c r="I663" s="25" t="str">
        <f>IFERROR(($D663/50-_xlfn.XLOOKUP($E663,$O$35:$O$43,$T$35:$T$43)*F663)/$P$9,"")</f>
        <v/>
      </c>
      <c r="J663" s="25" t="str">
        <f>IFERROR(_xlfn.XLOOKUP($E663,$O$35:$O$43,$T$35:$T$43)*G663/$P$9,"")</f>
        <v/>
      </c>
      <c r="K663" s="25" t="str">
        <f>IF(E663=$O$43,($D663/50-$T$43*$P$9)/$P$9,"")</f>
        <v/>
      </c>
      <c r="L663" s="25" t="str">
        <f>IFERROR(($D663/50-_xlfn.XLOOKUP($H663,$O$48:$O$62,$T$48:$T$62)*$P$14)/$P$9,"")</f>
        <v/>
      </c>
      <c r="M663" s="14">
        <f t="shared" si="10"/>
        <v>0</v>
      </c>
    </row>
    <row r="664" spans="2:13" x14ac:dyDescent="0.25">
      <c r="B664" s="10" t="str">
        <f>IF('Importér data'!C675="type",'Importér data'!F675,"")</f>
        <v/>
      </c>
      <c r="C664" s="10">
        <f>'Importér data'!H675</f>
        <v>0</v>
      </c>
      <c r="D664" s="32" t="str">
        <f>IF('Importér data'!C675="type",'Importér data'!N675,"")</f>
        <v/>
      </c>
      <c r="E664" s="24"/>
      <c r="F664" s="45"/>
      <c r="G664" s="45"/>
      <c r="H664" s="24"/>
      <c r="I664" s="25" t="str">
        <f>IFERROR(($D664/50-_xlfn.XLOOKUP($E664,$O$35:$O$43,$T$35:$T$43)*F664)/$P$9,"")</f>
        <v/>
      </c>
      <c r="J664" s="25" t="str">
        <f>IFERROR(_xlfn.XLOOKUP($E664,$O$35:$O$43,$T$35:$T$43)*G664/$P$9,"")</f>
        <v/>
      </c>
      <c r="K664" s="25" t="str">
        <f>IF(E664=$O$43,($D664/50-$T$43*$P$9)/$P$9,"")</f>
        <v/>
      </c>
      <c r="L664" s="25" t="str">
        <f>IFERROR(($D664/50-_xlfn.XLOOKUP($H664,$O$48:$O$62,$T$48:$T$62)*$P$14)/$P$9,"")</f>
        <v/>
      </c>
      <c r="M664" s="14">
        <f t="shared" si="10"/>
        <v>0</v>
      </c>
    </row>
    <row r="665" spans="2:13" x14ac:dyDescent="0.25">
      <c r="B665" s="10" t="str">
        <f>IF('Importér data'!C676="type",'Importér data'!F676,"")</f>
        <v/>
      </c>
      <c r="C665" s="10">
        <f>'Importér data'!H676</f>
        <v>0</v>
      </c>
      <c r="D665" s="32" t="str">
        <f>IF('Importér data'!C676="type",'Importér data'!N676,"")</f>
        <v/>
      </c>
      <c r="E665" s="24"/>
      <c r="F665" s="45"/>
      <c r="G665" s="45"/>
      <c r="H665" s="24"/>
      <c r="I665" s="25" t="str">
        <f>IFERROR(($D665/50-_xlfn.XLOOKUP($E665,$O$35:$O$43,$T$35:$T$43)*F665)/$P$9,"")</f>
        <v/>
      </c>
      <c r="J665" s="25" t="str">
        <f>IFERROR(_xlfn.XLOOKUP($E665,$O$35:$O$43,$T$35:$T$43)*G665/$P$9,"")</f>
        <v/>
      </c>
      <c r="K665" s="25" t="str">
        <f>IF(E665=$O$43,($D665/50-$T$43*$P$9)/$P$9,"")</f>
        <v/>
      </c>
      <c r="L665" s="25" t="str">
        <f>IFERROR(($D665/50-_xlfn.XLOOKUP($H665,$O$48:$O$62,$T$48:$T$62)*$P$14)/$P$9,"")</f>
        <v/>
      </c>
      <c r="M665" s="14">
        <f t="shared" si="10"/>
        <v>0</v>
      </c>
    </row>
    <row r="666" spans="2:13" x14ac:dyDescent="0.25">
      <c r="B666" s="10" t="str">
        <f>IF('Importér data'!C677="type",'Importér data'!F677,"")</f>
        <v/>
      </c>
      <c r="C666" s="10">
        <f>'Importér data'!H677</f>
        <v>0</v>
      </c>
      <c r="D666" s="32" t="str">
        <f>IF('Importér data'!C677="type",'Importér data'!N677,"")</f>
        <v/>
      </c>
      <c r="E666" s="24"/>
      <c r="F666" s="45"/>
      <c r="G666" s="45"/>
      <c r="H666" s="24"/>
      <c r="I666" s="25" t="str">
        <f>IFERROR(($D666/50-_xlfn.XLOOKUP($E666,$O$35:$O$43,$T$35:$T$43)*F666)/$P$9,"")</f>
        <v/>
      </c>
      <c r="J666" s="25" t="str">
        <f>IFERROR(_xlfn.XLOOKUP($E666,$O$35:$O$43,$T$35:$T$43)*G666/$P$9,"")</f>
        <v/>
      </c>
      <c r="K666" s="25" t="str">
        <f>IF(E666=$O$43,($D666/50-$T$43*$P$9)/$P$9,"")</f>
        <v/>
      </c>
      <c r="L666" s="25" t="str">
        <f>IFERROR(($D666/50-_xlfn.XLOOKUP($H666,$O$48:$O$62,$T$48:$T$62)*$P$14)/$P$9,"")</f>
        <v/>
      </c>
      <c r="M666" s="14">
        <f t="shared" si="10"/>
        <v>0</v>
      </c>
    </row>
    <row r="667" spans="2:13" x14ac:dyDescent="0.25">
      <c r="B667" s="10" t="str">
        <f>IF('Importér data'!C678="type",'Importér data'!F678,"")</f>
        <v/>
      </c>
      <c r="C667" s="10">
        <f>'Importér data'!H678</f>
        <v>0</v>
      </c>
      <c r="D667" s="32" t="str">
        <f>IF('Importér data'!C678="type",'Importér data'!N678,"")</f>
        <v/>
      </c>
      <c r="E667" s="24"/>
      <c r="F667" s="45"/>
      <c r="G667" s="45"/>
      <c r="H667" s="24"/>
      <c r="I667" s="25" t="str">
        <f>IFERROR(($D667/50-_xlfn.XLOOKUP($E667,$O$35:$O$43,$T$35:$T$43)*F667)/$P$9,"")</f>
        <v/>
      </c>
      <c r="J667" s="25" t="str">
        <f>IFERROR(_xlfn.XLOOKUP($E667,$O$35:$O$43,$T$35:$T$43)*G667/$P$9,"")</f>
        <v/>
      </c>
      <c r="K667" s="25" t="str">
        <f>IF(E667=$O$43,($D667/50-$T$43*$P$9)/$P$9,"")</f>
        <v/>
      </c>
      <c r="L667" s="25" t="str">
        <f>IFERROR(($D667/50-_xlfn.XLOOKUP($H667,$O$48:$O$62,$T$48:$T$62)*$P$14)/$P$9,"")</f>
        <v/>
      </c>
      <c r="M667" s="14">
        <f t="shared" si="10"/>
        <v>0</v>
      </c>
    </row>
    <row r="668" spans="2:13" x14ac:dyDescent="0.25">
      <c r="B668" s="10" t="str">
        <f>IF('Importér data'!C679="type",'Importér data'!F679,"")</f>
        <v/>
      </c>
      <c r="C668" s="10">
        <f>'Importér data'!H679</f>
        <v>0</v>
      </c>
      <c r="D668" s="32" t="str">
        <f>IF('Importér data'!C679="type",'Importér data'!N679,"")</f>
        <v/>
      </c>
      <c r="E668" s="24"/>
      <c r="F668" s="45"/>
      <c r="G668" s="45"/>
      <c r="H668" s="24"/>
      <c r="I668" s="25" t="str">
        <f>IFERROR(($D668/50-_xlfn.XLOOKUP($E668,$O$35:$O$43,$T$35:$T$43)*F668)/$P$9,"")</f>
        <v/>
      </c>
      <c r="J668" s="25" t="str">
        <f>IFERROR(_xlfn.XLOOKUP($E668,$O$35:$O$43,$T$35:$T$43)*G668/$P$9,"")</f>
        <v/>
      </c>
      <c r="K668" s="25" t="str">
        <f>IF(E668=$O$43,($D668/50-$T$43*$P$9)/$P$9,"")</f>
        <v/>
      </c>
      <c r="L668" s="25" t="str">
        <f>IFERROR(($D668/50-_xlfn.XLOOKUP($H668,$O$48:$O$62,$T$48:$T$62)*$P$14)/$P$9,"")</f>
        <v/>
      </c>
      <c r="M668" s="14">
        <f t="shared" si="10"/>
        <v>0</v>
      </c>
    </row>
    <row r="669" spans="2:13" x14ac:dyDescent="0.25">
      <c r="B669" s="10" t="str">
        <f>IF('Importér data'!C680="type",'Importér data'!F680,"")</f>
        <v/>
      </c>
      <c r="C669" s="10">
        <f>'Importér data'!H680</f>
        <v>0</v>
      </c>
      <c r="D669" s="32" t="str">
        <f>IF('Importér data'!C680="type",'Importér data'!N680,"")</f>
        <v/>
      </c>
      <c r="E669" s="24"/>
      <c r="F669" s="45"/>
      <c r="G669" s="45"/>
      <c r="H669" s="24"/>
      <c r="I669" s="25" t="str">
        <f>IFERROR(($D669/50-_xlfn.XLOOKUP($E669,$O$35:$O$43,$T$35:$T$43)*F669)/$P$9,"")</f>
        <v/>
      </c>
      <c r="J669" s="25" t="str">
        <f>IFERROR(_xlfn.XLOOKUP($E669,$O$35:$O$43,$T$35:$T$43)*G669/$P$9,"")</f>
        <v/>
      </c>
      <c r="K669" s="25" t="str">
        <f>IF(E669=$O$43,($D669/50-$T$43*$P$9)/$P$9,"")</f>
        <v/>
      </c>
      <c r="L669" s="25" t="str">
        <f>IFERROR(($D669/50-_xlfn.XLOOKUP($H669,$O$48:$O$62,$T$48:$T$62)*$P$14)/$P$9,"")</f>
        <v/>
      </c>
      <c r="M669" s="14">
        <f t="shared" si="10"/>
        <v>0</v>
      </c>
    </row>
    <row r="670" spans="2:13" x14ac:dyDescent="0.25">
      <c r="B670" s="10" t="str">
        <f>IF('Importér data'!C681="type",'Importér data'!F681,"")</f>
        <v/>
      </c>
      <c r="C670" s="10">
        <f>'Importér data'!H681</f>
        <v>0</v>
      </c>
      <c r="D670" s="32" t="str">
        <f>IF('Importér data'!C681="type",'Importér data'!N681,"")</f>
        <v/>
      </c>
      <c r="E670" s="24"/>
      <c r="F670" s="45"/>
      <c r="G670" s="45"/>
      <c r="H670" s="24"/>
      <c r="I670" s="25" t="str">
        <f>IFERROR(($D670/50-_xlfn.XLOOKUP($E670,$O$35:$O$43,$T$35:$T$43)*F670)/$P$9,"")</f>
        <v/>
      </c>
      <c r="J670" s="25" t="str">
        <f>IFERROR(_xlfn.XLOOKUP($E670,$O$35:$O$43,$T$35:$T$43)*G670/$P$9,"")</f>
        <v/>
      </c>
      <c r="K670" s="25" t="str">
        <f>IF(E670=$O$43,($D670/50-$T$43*$P$9)/$P$9,"")</f>
        <v/>
      </c>
      <c r="L670" s="25" t="str">
        <f>IFERROR(($D670/50-_xlfn.XLOOKUP($H670,$O$48:$O$62,$T$48:$T$62)*$P$14)/$P$9,"")</f>
        <v/>
      </c>
      <c r="M670" s="14">
        <f t="shared" si="10"/>
        <v>0</v>
      </c>
    </row>
    <row r="671" spans="2:13" x14ac:dyDescent="0.25">
      <c r="B671" s="10" t="str">
        <f>IF('Importér data'!C682="type",'Importér data'!F682,"")</f>
        <v/>
      </c>
      <c r="C671" s="10">
        <f>'Importér data'!H682</f>
        <v>0</v>
      </c>
      <c r="D671" s="32" t="str">
        <f>IF('Importér data'!C682="type",'Importér data'!N682,"")</f>
        <v/>
      </c>
      <c r="E671" s="24"/>
      <c r="F671" s="45"/>
      <c r="G671" s="45"/>
      <c r="H671" s="24"/>
      <c r="I671" s="25" t="str">
        <f>IFERROR(($D671/50-_xlfn.XLOOKUP($E671,$O$35:$O$43,$T$35:$T$43)*F671)/$P$9,"")</f>
        <v/>
      </c>
      <c r="J671" s="25" t="str">
        <f>IFERROR(_xlfn.XLOOKUP($E671,$O$35:$O$43,$T$35:$T$43)*G671/$P$9,"")</f>
        <v/>
      </c>
      <c r="K671" s="25" t="str">
        <f>IF(E671=$O$43,($D671/50-$T$43*$P$9)/$P$9,"")</f>
        <v/>
      </c>
      <c r="L671" s="25" t="str">
        <f>IFERROR(($D671/50-_xlfn.XLOOKUP($H671,$O$48:$O$62,$T$48:$T$62)*$P$14)/$P$9,"")</f>
        <v/>
      </c>
      <c r="M671" s="14">
        <f t="shared" si="10"/>
        <v>0</v>
      </c>
    </row>
    <row r="672" spans="2:13" x14ac:dyDescent="0.25">
      <c r="B672" s="10" t="str">
        <f>IF('Importér data'!C683="type",'Importér data'!F683,"")</f>
        <v/>
      </c>
      <c r="C672" s="10">
        <f>'Importér data'!H683</f>
        <v>0</v>
      </c>
      <c r="D672" s="32" t="str">
        <f>IF('Importér data'!C683="type",'Importér data'!N683,"")</f>
        <v/>
      </c>
      <c r="E672" s="24"/>
      <c r="F672" s="45"/>
      <c r="G672" s="45"/>
      <c r="H672" s="24"/>
      <c r="I672" s="25" t="str">
        <f>IFERROR(($D672/50-_xlfn.XLOOKUP($E672,$O$35:$O$43,$T$35:$T$43)*F672)/$P$9,"")</f>
        <v/>
      </c>
      <c r="J672" s="25" t="str">
        <f>IFERROR(_xlfn.XLOOKUP($E672,$O$35:$O$43,$T$35:$T$43)*G672/$P$9,"")</f>
        <v/>
      </c>
      <c r="K672" s="25" t="str">
        <f>IF(E672=$O$43,($D672/50-$T$43*$P$9)/$P$9,"")</f>
        <v/>
      </c>
      <c r="L672" s="25" t="str">
        <f>IFERROR(($D672/50-_xlfn.XLOOKUP($H672,$O$48:$O$62,$T$48:$T$62)*$P$14)/$P$9,"")</f>
        <v/>
      </c>
      <c r="M672" s="14">
        <f t="shared" si="10"/>
        <v>0</v>
      </c>
    </row>
    <row r="673" spans="2:13" x14ac:dyDescent="0.25">
      <c r="B673" s="10" t="str">
        <f>IF('Importér data'!C684="type",'Importér data'!F684,"")</f>
        <v/>
      </c>
      <c r="C673" s="10">
        <f>'Importér data'!H684</f>
        <v>0</v>
      </c>
      <c r="D673" s="32" t="str">
        <f>IF('Importér data'!C684="type",'Importér data'!N684,"")</f>
        <v/>
      </c>
      <c r="E673" s="24"/>
      <c r="F673" s="45"/>
      <c r="G673" s="45"/>
      <c r="H673" s="24"/>
      <c r="I673" s="25" t="str">
        <f>IFERROR(($D673/50-_xlfn.XLOOKUP($E673,$O$35:$O$43,$T$35:$T$43)*F673)/$P$9,"")</f>
        <v/>
      </c>
      <c r="J673" s="25" t="str">
        <f>IFERROR(_xlfn.XLOOKUP($E673,$O$35:$O$43,$T$35:$T$43)*G673/$P$9,"")</f>
        <v/>
      </c>
      <c r="K673" s="25" t="str">
        <f>IF(E673=$O$43,($D673/50-$T$43*$P$9)/$P$9,"")</f>
        <v/>
      </c>
      <c r="L673" s="25" t="str">
        <f>IFERROR(($D673/50-_xlfn.XLOOKUP($H673,$O$48:$O$62,$T$48:$T$62)*$P$14)/$P$9,"")</f>
        <v/>
      </c>
      <c r="M673" s="14">
        <f t="shared" si="10"/>
        <v>0</v>
      </c>
    </row>
    <row r="674" spans="2:13" x14ac:dyDescent="0.25">
      <c r="B674" s="10" t="str">
        <f>IF('Importér data'!C685="type",'Importér data'!F685,"")</f>
        <v/>
      </c>
      <c r="C674" s="10">
        <f>'Importér data'!H685</f>
        <v>0</v>
      </c>
      <c r="D674" s="32" t="str">
        <f>IF('Importér data'!C685="type",'Importér data'!N685,"")</f>
        <v/>
      </c>
      <c r="E674" s="24"/>
      <c r="F674" s="45"/>
      <c r="G674" s="45"/>
      <c r="H674" s="24"/>
      <c r="I674" s="25" t="str">
        <f>IFERROR(($D674/50-_xlfn.XLOOKUP($E674,$O$35:$O$43,$T$35:$T$43)*F674)/$P$9,"")</f>
        <v/>
      </c>
      <c r="J674" s="25" t="str">
        <f>IFERROR(_xlfn.XLOOKUP($E674,$O$35:$O$43,$T$35:$T$43)*G674/$P$9,"")</f>
        <v/>
      </c>
      <c r="K674" s="25" t="str">
        <f>IF(E674=$O$43,($D674/50-$T$43*$P$9)/$P$9,"")</f>
        <v/>
      </c>
      <c r="L674" s="25" t="str">
        <f>IFERROR(($D674/50-_xlfn.XLOOKUP($H674,$O$48:$O$62,$T$48:$T$62)*$P$14)/$P$9,"")</f>
        <v/>
      </c>
      <c r="M674" s="14">
        <f t="shared" si="10"/>
        <v>0</v>
      </c>
    </row>
    <row r="675" spans="2:13" x14ac:dyDescent="0.25">
      <c r="B675" s="10" t="str">
        <f>IF('Importér data'!C686="type",'Importér data'!F686,"")</f>
        <v/>
      </c>
      <c r="C675" s="10">
        <f>'Importér data'!H686</f>
        <v>0</v>
      </c>
      <c r="D675" s="32" t="str">
        <f>IF('Importér data'!C686="type",'Importér data'!N686,"")</f>
        <v/>
      </c>
      <c r="E675" s="24"/>
      <c r="F675" s="45"/>
      <c r="G675" s="45"/>
      <c r="H675" s="24"/>
      <c r="I675" s="25" t="str">
        <f>IFERROR(($D675/50-_xlfn.XLOOKUP($E675,$O$35:$O$43,$T$35:$T$43)*F675)/$P$9,"")</f>
        <v/>
      </c>
      <c r="J675" s="25" t="str">
        <f>IFERROR(_xlfn.XLOOKUP($E675,$O$35:$O$43,$T$35:$T$43)*G675/$P$9,"")</f>
        <v/>
      </c>
      <c r="K675" s="25" t="str">
        <f>IF(E675=$O$43,($D675/50-$T$43*$P$9)/$P$9,"")</f>
        <v/>
      </c>
      <c r="L675" s="25" t="str">
        <f>IFERROR(($D675/50-_xlfn.XLOOKUP($H675,$O$48:$O$62,$T$48:$T$62)*$P$14)/$P$9,"")</f>
        <v/>
      </c>
      <c r="M675" s="14">
        <f t="shared" si="10"/>
        <v>0</v>
      </c>
    </row>
    <row r="676" spans="2:13" x14ac:dyDescent="0.25">
      <c r="B676" s="10" t="str">
        <f>IF('Importér data'!C687="type",'Importér data'!F687,"")</f>
        <v/>
      </c>
      <c r="C676" s="10">
        <f>'Importér data'!H687</f>
        <v>0</v>
      </c>
      <c r="D676" s="32" t="str">
        <f>IF('Importér data'!C687="type",'Importér data'!N687,"")</f>
        <v/>
      </c>
      <c r="E676" s="24"/>
      <c r="F676" s="45"/>
      <c r="G676" s="45"/>
      <c r="H676" s="24"/>
      <c r="I676" s="25" t="str">
        <f>IFERROR(($D676/50-_xlfn.XLOOKUP($E676,$O$35:$O$43,$T$35:$T$43)*F676)/$P$9,"")</f>
        <v/>
      </c>
      <c r="J676" s="25" t="str">
        <f>IFERROR(_xlfn.XLOOKUP($E676,$O$35:$O$43,$T$35:$T$43)*G676/$P$9,"")</f>
        <v/>
      </c>
      <c r="K676" s="25" t="str">
        <f>IF(E676=$O$43,($D676/50-$T$43*$P$9)/$P$9,"")</f>
        <v/>
      </c>
      <c r="L676" s="25" t="str">
        <f>IFERROR(($D676/50-_xlfn.XLOOKUP($H676,$O$48:$O$62,$T$48:$T$62)*$P$14)/$P$9,"")</f>
        <v/>
      </c>
      <c r="M676" s="14">
        <f t="shared" si="10"/>
        <v>0</v>
      </c>
    </row>
    <row r="677" spans="2:13" x14ac:dyDescent="0.25">
      <c r="B677" s="10" t="str">
        <f>IF('Importér data'!C688="type",'Importér data'!F688,"")</f>
        <v/>
      </c>
      <c r="C677" s="10">
        <f>'Importér data'!H688</f>
        <v>0</v>
      </c>
      <c r="D677" s="32" t="str">
        <f>IF('Importér data'!C688="type",'Importér data'!N688,"")</f>
        <v/>
      </c>
      <c r="E677" s="24"/>
      <c r="F677" s="45"/>
      <c r="G677" s="45"/>
      <c r="H677" s="24"/>
      <c r="I677" s="25" t="str">
        <f>IFERROR(($D677/50-_xlfn.XLOOKUP($E677,$O$35:$O$43,$T$35:$T$43)*F677)/$P$9,"")</f>
        <v/>
      </c>
      <c r="J677" s="25" t="str">
        <f>IFERROR(_xlfn.XLOOKUP($E677,$O$35:$O$43,$T$35:$T$43)*G677/$P$9,"")</f>
        <v/>
      </c>
      <c r="K677" s="25" t="str">
        <f>IF(E677=$O$43,($D677/50-$T$43*$P$9)/$P$9,"")</f>
        <v/>
      </c>
      <c r="L677" s="25" t="str">
        <f>IFERROR(($D677/50-_xlfn.XLOOKUP($H677,$O$48:$O$62,$T$48:$T$62)*$P$14)/$P$9,"")</f>
        <v/>
      </c>
      <c r="M677" s="14">
        <f t="shared" si="10"/>
        <v>0</v>
      </c>
    </row>
    <row r="678" spans="2:13" x14ac:dyDescent="0.25">
      <c r="B678" s="10" t="str">
        <f>IF('Importér data'!C689="type",'Importér data'!F689,"")</f>
        <v/>
      </c>
      <c r="C678" s="10">
        <f>'Importér data'!H689</f>
        <v>0</v>
      </c>
      <c r="D678" s="32" t="str">
        <f>IF('Importér data'!C689="type",'Importér data'!N689,"")</f>
        <v/>
      </c>
      <c r="E678" s="24"/>
      <c r="F678" s="45"/>
      <c r="G678" s="45"/>
      <c r="H678" s="24"/>
      <c r="I678" s="25" t="str">
        <f>IFERROR(($D678/50-_xlfn.XLOOKUP($E678,$O$35:$O$43,$T$35:$T$43)*F678)/$P$9,"")</f>
        <v/>
      </c>
      <c r="J678" s="25" t="str">
        <f>IFERROR(_xlfn.XLOOKUP($E678,$O$35:$O$43,$T$35:$T$43)*G678/$P$9,"")</f>
        <v/>
      </c>
      <c r="K678" s="25" t="str">
        <f>IF(E678=$O$43,($D678/50-$T$43*$P$9)/$P$9,"")</f>
        <v/>
      </c>
      <c r="L678" s="25" t="str">
        <f>IFERROR(($D678/50-_xlfn.XLOOKUP($H678,$O$48:$O$62,$T$48:$T$62)*$P$14)/$P$9,"")</f>
        <v/>
      </c>
      <c r="M678" s="14">
        <f t="shared" si="10"/>
        <v>0</v>
      </c>
    </row>
    <row r="679" spans="2:13" x14ac:dyDescent="0.25">
      <c r="B679" s="10" t="str">
        <f>IF('Importér data'!C690="type",'Importér data'!F690,"")</f>
        <v/>
      </c>
      <c r="C679" s="10">
        <f>'Importér data'!H690</f>
        <v>0</v>
      </c>
      <c r="D679" s="32" t="str">
        <f>IF('Importér data'!C690="type",'Importér data'!N690,"")</f>
        <v/>
      </c>
      <c r="E679" s="24"/>
      <c r="F679" s="45"/>
      <c r="G679" s="45"/>
      <c r="H679" s="24"/>
      <c r="I679" s="25" t="str">
        <f>IFERROR(($D679/50-_xlfn.XLOOKUP($E679,$O$35:$O$43,$T$35:$T$43)*F679)/$P$9,"")</f>
        <v/>
      </c>
      <c r="J679" s="25" t="str">
        <f>IFERROR(_xlfn.XLOOKUP($E679,$O$35:$O$43,$T$35:$T$43)*G679/$P$9,"")</f>
        <v/>
      </c>
      <c r="K679" s="25" t="str">
        <f>IF(E679=$O$43,($D679/50-$T$43*$P$9)/$P$9,"")</f>
        <v/>
      </c>
      <c r="L679" s="25" t="str">
        <f>IFERROR(($D679/50-_xlfn.XLOOKUP($H679,$O$48:$O$62,$T$48:$T$62)*$P$14)/$P$9,"")</f>
        <v/>
      </c>
      <c r="M679" s="14">
        <f t="shared" si="10"/>
        <v>0</v>
      </c>
    </row>
    <row r="680" spans="2:13" x14ac:dyDescent="0.25">
      <c r="B680" s="10" t="str">
        <f>IF('Importér data'!C691="type",'Importér data'!F691,"")</f>
        <v/>
      </c>
      <c r="C680" s="10">
        <f>'Importér data'!H691</f>
        <v>0</v>
      </c>
      <c r="D680" s="32" t="str">
        <f>IF('Importér data'!C691="type",'Importér data'!N691,"")</f>
        <v/>
      </c>
      <c r="E680" s="24"/>
      <c r="F680" s="45"/>
      <c r="G680" s="45"/>
      <c r="H680" s="24"/>
      <c r="I680" s="25" t="str">
        <f>IFERROR(($D680/50-_xlfn.XLOOKUP($E680,$O$35:$O$43,$T$35:$T$43)*F680)/$P$9,"")</f>
        <v/>
      </c>
      <c r="J680" s="25" t="str">
        <f>IFERROR(_xlfn.XLOOKUP($E680,$O$35:$O$43,$T$35:$T$43)*G680/$P$9,"")</f>
        <v/>
      </c>
      <c r="K680" s="25" t="str">
        <f>IF(E680=$O$43,($D680/50-$T$43*$P$9)/$P$9,"")</f>
        <v/>
      </c>
      <c r="L680" s="25" t="str">
        <f>IFERROR(($D680/50-_xlfn.XLOOKUP($H680,$O$48:$O$62,$T$48:$T$62)*$P$14)/$P$9,"")</f>
        <v/>
      </c>
      <c r="M680" s="14">
        <f t="shared" si="10"/>
        <v>0</v>
      </c>
    </row>
    <row r="681" spans="2:13" x14ac:dyDescent="0.25">
      <c r="B681" s="10" t="str">
        <f>IF('Importér data'!C692="type",'Importér data'!F692,"")</f>
        <v/>
      </c>
      <c r="C681" s="10">
        <f>'Importér data'!H692</f>
        <v>0</v>
      </c>
      <c r="D681" s="32" t="str">
        <f>IF('Importér data'!C692="type",'Importér data'!N692,"")</f>
        <v/>
      </c>
      <c r="E681" s="24"/>
      <c r="F681" s="45"/>
      <c r="G681" s="45"/>
      <c r="H681" s="24"/>
      <c r="I681" s="25" t="str">
        <f>IFERROR(($D681/50-_xlfn.XLOOKUP($E681,$O$35:$O$43,$T$35:$T$43)*F681)/$P$9,"")</f>
        <v/>
      </c>
      <c r="J681" s="25" t="str">
        <f>IFERROR(_xlfn.XLOOKUP($E681,$O$35:$O$43,$T$35:$T$43)*G681/$P$9,"")</f>
        <v/>
      </c>
      <c r="K681" s="25" t="str">
        <f>IF(E681=$O$43,($D681/50-$T$43*$P$9)/$P$9,"")</f>
        <v/>
      </c>
      <c r="L681" s="25" t="str">
        <f>IFERROR(($D681/50-_xlfn.XLOOKUP($H681,$O$48:$O$62,$T$48:$T$62)*$P$14)/$P$9,"")</f>
        <v/>
      </c>
      <c r="M681" s="14">
        <f t="shared" si="10"/>
        <v>0</v>
      </c>
    </row>
    <row r="682" spans="2:13" x14ac:dyDescent="0.25">
      <c r="B682" s="10" t="str">
        <f>IF('Importér data'!C693="type",'Importér data'!F693,"")</f>
        <v/>
      </c>
      <c r="C682" s="10">
        <f>'Importér data'!H693</f>
        <v>0</v>
      </c>
      <c r="D682" s="32" t="str">
        <f>IF('Importér data'!C693="type",'Importér data'!N693,"")</f>
        <v/>
      </c>
      <c r="E682" s="24"/>
      <c r="F682" s="45"/>
      <c r="G682" s="45"/>
      <c r="H682" s="24"/>
      <c r="I682" s="25" t="str">
        <f>IFERROR(($D682/50-_xlfn.XLOOKUP($E682,$O$35:$O$43,$T$35:$T$43)*F682)/$P$9,"")</f>
        <v/>
      </c>
      <c r="J682" s="25" t="str">
        <f>IFERROR(_xlfn.XLOOKUP($E682,$O$35:$O$43,$T$35:$T$43)*G682/$P$9,"")</f>
        <v/>
      </c>
      <c r="K682" s="25" t="str">
        <f>IF(E682=$O$43,($D682/50-$T$43*$P$9)/$P$9,"")</f>
        <v/>
      </c>
      <c r="L682" s="25" t="str">
        <f>IFERROR(($D682/50-_xlfn.XLOOKUP($H682,$O$48:$O$62,$T$48:$T$62)*$P$14)/$P$9,"")</f>
        <v/>
      </c>
      <c r="M682" s="14">
        <f t="shared" si="10"/>
        <v>0</v>
      </c>
    </row>
    <row r="683" spans="2:13" x14ac:dyDescent="0.25">
      <c r="B683" s="10" t="str">
        <f>IF('Importér data'!C694="type",'Importér data'!F694,"")</f>
        <v/>
      </c>
      <c r="C683" s="10">
        <f>'Importér data'!H694</f>
        <v>0</v>
      </c>
      <c r="D683" s="32" t="str">
        <f>IF('Importér data'!C694="type",'Importér data'!N694,"")</f>
        <v/>
      </c>
      <c r="E683" s="24"/>
      <c r="F683" s="45"/>
      <c r="G683" s="45"/>
      <c r="H683" s="24"/>
      <c r="I683" s="25" t="str">
        <f>IFERROR(($D683/50-_xlfn.XLOOKUP($E683,$O$35:$O$43,$T$35:$T$43)*F683)/$P$9,"")</f>
        <v/>
      </c>
      <c r="J683" s="25" t="str">
        <f>IFERROR(_xlfn.XLOOKUP($E683,$O$35:$O$43,$T$35:$T$43)*G683/$P$9,"")</f>
        <v/>
      </c>
      <c r="K683" s="25" t="str">
        <f>IF(E683=$O$43,($D683/50-$T$43*$P$9)/$P$9,"")</f>
        <v/>
      </c>
      <c r="L683" s="25" t="str">
        <f>IFERROR(($D683/50-_xlfn.XLOOKUP($H683,$O$48:$O$62,$T$48:$T$62)*$P$14)/$P$9,"")</f>
        <v/>
      </c>
      <c r="M683" s="14">
        <f t="shared" si="10"/>
        <v>0</v>
      </c>
    </row>
    <row r="684" spans="2:13" x14ac:dyDescent="0.25">
      <c r="B684" s="10" t="str">
        <f>IF('Importér data'!C695="type",'Importér data'!F695,"")</f>
        <v/>
      </c>
      <c r="C684" s="10">
        <f>'Importér data'!H695</f>
        <v>0</v>
      </c>
      <c r="D684" s="32" t="str">
        <f>IF('Importér data'!C695="type",'Importér data'!N695,"")</f>
        <v/>
      </c>
      <c r="E684" s="24"/>
      <c r="F684" s="45"/>
      <c r="G684" s="45"/>
      <c r="H684" s="24"/>
      <c r="I684" s="25" t="str">
        <f>IFERROR(($D684/50-_xlfn.XLOOKUP($E684,$O$35:$O$43,$T$35:$T$43)*F684)/$P$9,"")</f>
        <v/>
      </c>
      <c r="J684" s="25" t="str">
        <f>IFERROR(_xlfn.XLOOKUP($E684,$O$35:$O$43,$T$35:$T$43)*G684/$P$9,"")</f>
        <v/>
      </c>
      <c r="K684" s="25" t="str">
        <f>IF(E684=$O$43,($D684/50-$T$43*$P$9)/$P$9,"")</f>
        <v/>
      </c>
      <c r="L684" s="25" t="str">
        <f>IFERROR(($D684/50-_xlfn.XLOOKUP($H684,$O$48:$O$62,$T$48:$T$62)*$P$14)/$P$9,"")</f>
        <v/>
      </c>
      <c r="M684" s="14">
        <f t="shared" si="10"/>
        <v>0</v>
      </c>
    </row>
    <row r="685" spans="2:13" x14ac:dyDescent="0.25">
      <c r="B685" s="10" t="str">
        <f>IF('Importér data'!C696="type",'Importér data'!F696,"")</f>
        <v/>
      </c>
      <c r="C685" s="10">
        <f>'Importér data'!H696</f>
        <v>0</v>
      </c>
      <c r="D685" s="32" t="str">
        <f>IF('Importér data'!C696="type",'Importér data'!N696,"")</f>
        <v/>
      </c>
      <c r="E685" s="24"/>
      <c r="F685" s="45"/>
      <c r="G685" s="45"/>
      <c r="H685" s="24"/>
      <c r="I685" s="25" t="str">
        <f>IFERROR(($D685/50-_xlfn.XLOOKUP($E685,$O$35:$O$43,$T$35:$T$43)*F685)/$P$9,"")</f>
        <v/>
      </c>
      <c r="J685" s="25" t="str">
        <f>IFERROR(_xlfn.XLOOKUP($E685,$O$35:$O$43,$T$35:$T$43)*G685/$P$9,"")</f>
        <v/>
      </c>
      <c r="K685" s="25" t="str">
        <f>IF(E685=$O$43,($D685/50-$T$43*$P$9)/$P$9,"")</f>
        <v/>
      </c>
      <c r="L685" s="25" t="str">
        <f>IFERROR(($D685/50-_xlfn.XLOOKUP($H685,$O$48:$O$62,$T$48:$T$62)*$P$14)/$P$9,"")</f>
        <v/>
      </c>
      <c r="M685" s="14">
        <f t="shared" si="10"/>
        <v>0</v>
      </c>
    </row>
    <row r="686" spans="2:13" x14ac:dyDescent="0.25">
      <c r="B686" s="10" t="str">
        <f>IF('Importér data'!C697="type",'Importér data'!F697,"")</f>
        <v/>
      </c>
      <c r="C686" s="10">
        <f>'Importér data'!H697</f>
        <v>0</v>
      </c>
      <c r="D686" s="32" t="str">
        <f>IF('Importér data'!C697="type",'Importér data'!N697,"")</f>
        <v/>
      </c>
      <c r="E686" s="24"/>
      <c r="F686" s="45"/>
      <c r="G686" s="45"/>
      <c r="H686" s="24"/>
      <c r="I686" s="25" t="str">
        <f>IFERROR(($D686/50-_xlfn.XLOOKUP($E686,$O$35:$O$43,$T$35:$T$43)*F686)/$P$9,"")</f>
        <v/>
      </c>
      <c r="J686" s="25" t="str">
        <f>IFERROR(_xlfn.XLOOKUP($E686,$O$35:$O$43,$T$35:$T$43)*G686/$P$9,"")</f>
        <v/>
      </c>
      <c r="K686" s="25" t="str">
        <f>IF(E686=$O$43,($D686/50-$T$43*$P$9)/$P$9,"")</f>
        <v/>
      </c>
      <c r="L686" s="25" t="str">
        <f>IFERROR(($D686/50-_xlfn.XLOOKUP($H686,$O$48:$O$62,$T$48:$T$62)*$P$14)/$P$9,"")</f>
        <v/>
      </c>
      <c r="M686" s="14">
        <f t="shared" si="10"/>
        <v>0</v>
      </c>
    </row>
    <row r="687" spans="2:13" x14ac:dyDescent="0.25">
      <c r="B687" s="10" t="str">
        <f>IF('Importér data'!C698="type",'Importér data'!F698,"")</f>
        <v/>
      </c>
      <c r="C687" s="10">
        <f>'Importér data'!H698</f>
        <v>0</v>
      </c>
      <c r="D687" s="32" t="str">
        <f>IF('Importér data'!C698="type",'Importér data'!N698,"")</f>
        <v/>
      </c>
      <c r="E687" s="24"/>
      <c r="F687" s="45"/>
      <c r="G687" s="45"/>
      <c r="H687" s="24"/>
      <c r="I687" s="25" t="str">
        <f>IFERROR(($D687/50-_xlfn.XLOOKUP($E687,$O$35:$O$43,$T$35:$T$43)*F687)/$P$9,"")</f>
        <v/>
      </c>
      <c r="J687" s="25" t="str">
        <f>IFERROR(_xlfn.XLOOKUP($E687,$O$35:$O$43,$T$35:$T$43)*G687/$P$9,"")</f>
        <v/>
      </c>
      <c r="K687" s="25" t="str">
        <f>IF(E687=$O$43,($D687/50-$T$43*$P$9)/$P$9,"")</f>
        <v/>
      </c>
      <c r="L687" s="25" t="str">
        <f>IFERROR(($D687/50-_xlfn.XLOOKUP($H687,$O$48:$O$62,$T$48:$T$62)*$P$14)/$P$9,"")</f>
        <v/>
      </c>
      <c r="M687" s="14">
        <f t="shared" si="10"/>
        <v>0</v>
      </c>
    </row>
    <row r="688" spans="2:13" x14ac:dyDescent="0.25">
      <c r="B688" s="10" t="str">
        <f>IF('Importér data'!C699="type",'Importér data'!F699,"")</f>
        <v/>
      </c>
      <c r="C688" s="10">
        <f>'Importér data'!H699</f>
        <v>0</v>
      </c>
      <c r="D688" s="32" t="str">
        <f>IF('Importér data'!C699="type",'Importér data'!N699,"")</f>
        <v/>
      </c>
      <c r="E688" s="24"/>
      <c r="F688" s="45"/>
      <c r="G688" s="45"/>
      <c r="H688" s="24"/>
      <c r="I688" s="25" t="str">
        <f>IFERROR(($D688/50-_xlfn.XLOOKUP($E688,$O$35:$O$43,$T$35:$T$43)*F688)/$P$9,"")</f>
        <v/>
      </c>
      <c r="J688" s="25" t="str">
        <f>IFERROR(_xlfn.XLOOKUP($E688,$O$35:$O$43,$T$35:$T$43)*G688/$P$9,"")</f>
        <v/>
      </c>
      <c r="K688" s="25" t="str">
        <f>IF(E688=$O$43,($D688/50-$T$43*$P$9)/$P$9,"")</f>
        <v/>
      </c>
      <c r="L688" s="25" t="str">
        <f>IFERROR(($D688/50-_xlfn.XLOOKUP($H688,$O$48:$O$62,$T$48:$T$62)*$P$14)/$P$9,"")</f>
        <v/>
      </c>
      <c r="M688" s="14">
        <f t="shared" si="10"/>
        <v>0</v>
      </c>
    </row>
    <row r="689" spans="2:13" x14ac:dyDescent="0.25">
      <c r="B689" s="10" t="str">
        <f>IF('Importér data'!C700="type",'Importér data'!F700,"")</f>
        <v/>
      </c>
      <c r="C689" s="10">
        <f>'Importér data'!H700</f>
        <v>0</v>
      </c>
      <c r="D689" s="32" t="str">
        <f>IF('Importér data'!C700="type",'Importér data'!N700,"")</f>
        <v/>
      </c>
      <c r="E689" s="24"/>
      <c r="F689" s="45"/>
      <c r="G689" s="45"/>
      <c r="H689" s="24"/>
      <c r="I689" s="25" t="str">
        <f>IFERROR(($D689/50-_xlfn.XLOOKUP($E689,$O$35:$O$43,$T$35:$T$43)*F689)/$P$9,"")</f>
        <v/>
      </c>
      <c r="J689" s="25" t="str">
        <f>IFERROR(_xlfn.XLOOKUP($E689,$O$35:$O$43,$T$35:$T$43)*G689/$P$9,"")</f>
        <v/>
      </c>
      <c r="K689" s="25" t="str">
        <f>IF(E689=$O$43,($D689/50-$T$43*$P$9)/$P$9,"")</f>
        <v/>
      </c>
      <c r="L689" s="25" t="str">
        <f>IFERROR(($D689/50-_xlfn.XLOOKUP($H689,$O$48:$O$62,$T$48:$T$62)*$P$14)/$P$9,"")</f>
        <v/>
      </c>
      <c r="M689" s="14">
        <f t="shared" si="10"/>
        <v>0</v>
      </c>
    </row>
    <row r="690" spans="2:13" x14ac:dyDescent="0.25">
      <c r="B690" s="10" t="str">
        <f>IF('Importér data'!C701="type",'Importér data'!F701,"")</f>
        <v/>
      </c>
      <c r="C690" s="10">
        <f>'Importér data'!H701</f>
        <v>0</v>
      </c>
      <c r="D690" s="32" t="str">
        <f>IF('Importér data'!C701="type",'Importér data'!N701,"")</f>
        <v/>
      </c>
      <c r="E690" s="24"/>
      <c r="F690" s="45"/>
      <c r="G690" s="45"/>
      <c r="H690" s="24"/>
      <c r="I690" s="25" t="str">
        <f>IFERROR(($D690/50-_xlfn.XLOOKUP($E690,$O$35:$O$43,$T$35:$T$43)*F690)/$P$9,"")</f>
        <v/>
      </c>
      <c r="J690" s="25" t="str">
        <f>IFERROR(_xlfn.XLOOKUP($E690,$O$35:$O$43,$T$35:$T$43)*G690/$P$9,"")</f>
        <v/>
      </c>
      <c r="K690" s="25" t="str">
        <f>IF(E690=$O$43,($D690/50-$T$43*$P$9)/$P$9,"")</f>
        <v/>
      </c>
      <c r="L690" s="25" t="str">
        <f>IFERROR(($D690/50-_xlfn.XLOOKUP($H690,$O$48:$O$62,$T$48:$T$62)*$P$14)/$P$9,"")</f>
        <v/>
      </c>
      <c r="M690" s="14">
        <f t="shared" si="10"/>
        <v>0</v>
      </c>
    </row>
    <row r="691" spans="2:13" x14ac:dyDescent="0.25">
      <c r="B691" s="10" t="str">
        <f>IF('Importér data'!C702="type",'Importér data'!F702,"")</f>
        <v/>
      </c>
      <c r="C691" s="10">
        <f>'Importér data'!H702</f>
        <v>0</v>
      </c>
      <c r="D691" s="32" t="str">
        <f>IF('Importér data'!C702="type",'Importér data'!N702,"")</f>
        <v/>
      </c>
      <c r="E691" s="24"/>
      <c r="F691" s="45"/>
      <c r="G691" s="45"/>
      <c r="H691" s="24"/>
      <c r="I691" s="25" t="str">
        <f>IFERROR(($D691/50-_xlfn.XLOOKUP($E691,$O$35:$O$43,$T$35:$T$43)*F691)/$P$9,"")</f>
        <v/>
      </c>
      <c r="J691" s="25" t="str">
        <f>IFERROR(_xlfn.XLOOKUP($E691,$O$35:$O$43,$T$35:$T$43)*G691/$P$9,"")</f>
        <v/>
      </c>
      <c r="K691" s="25" t="str">
        <f>IF(E691=$O$43,($D691/50-$T$43*$P$9)/$P$9,"")</f>
        <v/>
      </c>
      <c r="L691" s="25" t="str">
        <f>IFERROR(($D691/50-_xlfn.XLOOKUP($H691,$O$48:$O$62,$T$48:$T$62)*$P$14)/$P$9,"")</f>
        <v/>
      </c>
      <c r="M691" s="14">
        <f t="shared" si="10"/>
        <v>0</v>
      </c>
    </row>
    <row r="692" spans="2:13" x14ac:dyDescent="0.25">
      <c r="B692" s="10" t="str">
        <f>IF('Importér data'!C703="type",'Importér data'!F703,"")</f>
        <v/>
      </c>
      <c r="C692" s="10">
        <f>'Importér data'!H703</f>
        <v>0</v>
      </c>
      <c r="D692" s="32" t="str">
        <f>IF('Importér data'!C703="type",'Importér data'!N703,"")</f>
        <v/>
      </c>
      <c r="E692" s="24"/>
      <c r="F692" s="45"/>
      <c r="G692" s="45"/>
      <c r="H692" s="24"/>
      <c r="I692" s="25" t="str">
        <f>IFERROR(($D692/50-_xlfn.XLOOKUP($E692,$O$35:$O$43,$T$35:$T$43)*F692)/$P$9,"")</f>
        <v/>
      </c>
      <c r="J692" s="25" t="str">
        <f>IFERROR(_xlfn.XLOOKUP($E692,$O$35:$O$43,$T$35:$T$43)*G692/$P$9,"")</f>
        <v/>
      </c>
      <c r="K692" s="25" t="str">
        <f>IF(E692=$O$43,($D692/50-$T$43*$P$9)/$P$9,"")</f>
        <v/>
      </c>
      <c r="L692" s="25" t="str">
        <f>IFERROR(($D692/50-_xlfn.XLOOKUP($H692,$O$48:$O$62,$T$48:$T$62)*$P$14)/$P$9,"")</f>
        <v/>
      </c>
      <c r="M692" s="14">
        <f t="shared" si="10"/>
        <v>0</v>
      </c>
    </row>
    <row r="693" spans="2:13" x14ac:dyDescent="0.25">
      <c r="B693" s="10" t="str">
        <f>IF('Importér data'!C704="type",'Importér data'!F704,"")</f>
        <v/>
      </c>
      <c r="C693" s="10">
        <f>'Importér data'!H704</f>
        <v>0</v>
      </c>
      <c r="D693" s="32" t="str">
        <f>IF('Importér data'!C704="type",'Importér data'!N704,"")</f>
        <v/>
      </c>
      <c r="E693" s="24"/>
      <c r="F693" s="45"/>
      <c r="G693" s="45"/>
      <c r="H693" s="24"/>
      <c r="I693" s="25" t="str">
        <f>IFERROR(($D693/50-_xlfn.XLOOKUP($E693,$O$35:$O$43,$T$35:$T$43)*F693)/$P$9,"")</f>
        <v/>
      </c>
      <c r="J693" s="25" t="str">
        <f>IFERROR(_xlfn.XLOOKUP($E693,$O$35:$O$43,$T$35:$T$43)*G693/$P$9,"")</f>
        <v/>
      </c>
      <c r="K693" s="25" t="str">
        <f>IF(E693=$O$43,($D693/50-$T$43*$P$9)/$P$9,"")</f>
        <v/>
      </c>
      <c r="L693" s="25" t="str">
        <f>IFERROR(($D693/50-_xlfn.XLOOKUP($H693,$O$48:$O$62,$T$48:$T$62)*$P$14)/$P$9,"")</f>
        <v/>
      </c>
      <c r="M693" s="14">
        <f t="shared" si="10"/>
        <v>0</v>
      </c>
    </row>
    <row r="694" spans="2:13" x14ac:dyDescent="0.25">
      <c r="B694" s="10" t="str">
        <f>IF('Importér data'!C705="type",'Importér data'!F705,"")</f>
        <v/>
      </c>
      <c r="C694" s="10">
        <f>'Importér data'!H705</f>
        <v>0</v>
      </c>
      <c r="D694" s="32" t="str">
        <f>IF('Importér data'!C705="type",'Importér data'!N705,"")</f>
        <v/>
      </c>
      <c r="E694" s="24"/>
      <c r="F694" s="45"/>
      <c r="G694" s="45"/>
      <c r="H694" s="24"/>
      <c r="I694" s="25" t="str">
        <f>IFERROR(($D694/50-_xlfn.XLOOKUP($E694,$O$35:$O$43,$T$35:$T$43)*F694)/$P$9,"")</f>
        <v/>
      </c>
      <c r="J694" s="25" t="str">
        <f>IFERROR(_xlfn.XLOOKUP($E694,$O$35:$O$43,$T$35:$T$43)*G694/$P$9,"")</f>
        <v/>
      </c>
      <c r="K694" s="25" t="str">
        <f>IF(E694=$O$43,($D694/50-$T$43*$P$9)/$P$9,"")</f>
        <v/>
      </c>
      <c r="L694" s="25" t="str">
        <f>IFERROR(($D694/50-_xlfn.XLOOKUP($H694,$O$48:$O$62,$T$48:$T$62)*$P$14)/$P$9,"")</f>
        <v/>
      </c>
      <c r="M694" s="14">
        <f t="shared" si="10"/>
        <v>0</v>
      </c>
    </row>
    <row r="695" spans="2:13" x14ac:dyDescent="0.25">
      <c r="B695" s="10" t="str">
        <f>IF('Importér data'!C706="type",'Importér data'!F706,"")</f>
        <v/>
      </c>
      <c r="C695" s="10">
        <f>'Importér data'!H706</f>
        <v>0</v>
      </c>
      <c r="D695" s="32" t="str">
        <f>IF('Importér data'!C706="type",'Importér data'!N706,"")</f>
        <v/>
      </c>
      <c r="E695" s="24"/>
      <c r="F695" s="45"/>
      <c r="G695" s="45"/>
      <c r="H695" s="24"/>
      <c r="I695" s="25" t="str">
        <f>IFERROR(($D695/50-_xlfn.XLOOKUP($E695,$O$35:$O$43,$T$35:$T$43)*F695)/$P$9,"")</f>
        <v/>
      </c>
      <c r="J695" s="25" t="str">
        <f>IFERROR(_xlfn.XLOOKUP($E695,$O$35:$O$43,$T$35:$T$43)*G695/$P$9,"")</f>
        <v/>
      </c>
      <c r="K695" s="25" t="str">
        <f>IF(E695=$O$43,($D695/50-$T$43*$P$9)/$P$9,"")</f>
        <v/>
      </c>
      <c r="L695" s="25" t="str">
        <f>IFERROR(($D695/50-_xlfn.XLOOKUP($H695,$O$48:$O$62,$T$48:$T$62)*$P$14)/$P$9,"")</f>
        <v/>
      </c>
      <c r="M695" s="14">
        <f t="shared" si="10"/>
        <v>0</v>
      </c>
    </row>
    <row r="696" spans="2:13" x14ac:dyDescent="0.25">
      <c r="B696" s="10" t="str">
        <f>IF('Importér data'!C707="type",'Importér data'!F707,"")</f>
        <v/>
      </c>
      <c r="C696" s="10">
        <f>'Importér data'!H707</f>
        <v>0</v>
      </c>
      <c r="D696" s="32" t="str">
        <f>IF('Importér data'!C707="type",'Importér data'!N707,"")</f>
        <v/>
      </c>
      <c r="E696" s="24"/>
      <c r="F696" s="45"/>
      <c r="G696" s="45"/>
      <c r="H696" s="24"/>
      <c r="I696" s="25" t="str">
        <f>IFERROR(($D696/50-_xlfn.XLOOKUP($E696,$O$35:$O$43,$T$35:$T$43)*F696)/$P$9,"")</f>
        <v/>
      </c>
      <c r="J696" s="25" t="str">
        <f>IFERROR(_xlfn.XLOOKUP($E696,$O$35:$O$43,$T$35:$T$43)*G696/$P$9,"")</f>
        <v/>
      </c>
      <c r="K696" s="25" t="str">
        <f>IF(E696=$O$43,($D696/50-$T$43*$P$9)/$P$9,"")</f>
        <v/>
      </c>
      <c r="L696" s="25" t="str">
        <f>IFERROR(($D696/50-_xlfn.XLOOKUP($H696,$O$48:$O$62,$T$48:$T$62)*$P$14)/$P$9,"")</f>
        <v/>
      </c>
      <c r="M696" s="14">
        <f t="shared" si="10"/>
        <v>0</v>
      </c>
    </row>
    <row r="697" spans="2:13" x14ac:dyDescent="0.25">
      <c r="B697" s="10" t="str">
        <f>IF('Importér data'!C708="type",'Importér data'!F708,"")</f>
        <v/>
      </c>
      <c r="C697" s="10">
        <f>'Importér data'!H708</f>
        <v>0</v>
      </c>
      <c r="D697" s="32" t="str">
        <f>IF('Importér data'!C708="type",'Importér data'!N708,"")</f>
        <v/>
      </c>
      <c r="E697" s="24"/>
      <c r="F697" s="45"/>
      <c r="G697" s="45"/>
      <c r="H697" s="24"/>
      <c r="I697" s="25" t="str">
        <f>IFERROR(($D697/50-_xlfn.XLOOKUP($E697,$O$35:$O$43,$T$35:$T$43)*F697)/$P$9,"")</f>
        <v/>
      </c>
      <c r="J697" s="25" t="str">
        <f>IFERROR(_xlfn.XLOOKUP($E697,$O$35:$O$43,$T$35:$T$43)*G697/$P$9,"")</f>
        <v/>
      </c>
      <c r="K697" s="25" t="str">
        <f>IF(E697=$O$43,($D697/50-$T$43*$P$9)/$P$9,"")</f>
        <v/>
      </c>
      <c r="L697" s="25" t="str">
        <f>IFERROR(($D697/50-_xlfn.XLOOKUP($H697,$O$48:$O$62,$T$48:$T$62)*$P$14)/$P$9,"")</f>
        <v/>
      </c>
      <c r="M697" s="14">
        <f t="shared" si="10"/>
        <v>0</v>
      </c>
    </row>
    <row r="698" spans="2:13" x14ac:dyDescent="0.25">
      <c r="B698" s="10" t="str">
        <f>IF('Importér data'!C709="type",'Importér data'!F709,"")</f>
        <v/>
      </c>
      <c r="C698" s="10">
        <f>'Importér data'!H709</f>
        <v>0</v>
      </c>
      <c r="D698" s="32" t="str">
        <f>IF('Importér data'!C709="type",'Importér data'!N709,"")</f>
        <v/>
      </c>
      <c r="E698" s="24"/>
      <c r="F698" s="45"/>
      <c r="G698" s="45"/>
      <c r="H698" s="24"/>
      <c r="I698" s="25" t="str">
        <f>IFERROR(($D698/50-_xlfn.XLOOKUP($E698,$O$35:$O$43,$T$35:$T$43)*F698)/$P$9,"")</f>
        <v/>
      </c>
      <c r="J698" s="25" t="str">
        <f>IFERROR(_xlfn.XLOOKUP($E698,$O$35:$O$43,$T$35:$T$43)*G698/$P$9,"")</f>
        <v/>
      </c>
      <c r="K698" s="25" t="str">
        <f>IF(E698=$O$43,($D698/50-$T$43*$P$9)/$P$9,"")</f>
        <v/>
      </c>
      <c r="L698" s="25" t="str">
        <f>IFERROR(($D698/50-_xlfn.XLOOKUP($H698,$O$48:$O$62,$T$48:$T$62)*$P$14)/$P$9,"")</f>
        <v/>
      </c>
      <c r="M698" s="14">
        <f t="shared" si="10"/>
        <v>0</v>
      </c>
    </row>
    <row r="699" spans="2:13" x14ac:dyDescent="0.25">
      <c r="B699" s="10" t="str">
        <f>IF('Importér data'!C710="type",'Importér data'!F710,"")</f>
        <v/>
      </c>
      <c r="C699" s="10">
        <f>'Importér data'!H710</f>
        <v>0</v>
      </c>
      <c r="D699" s="32" t="str">
        <f>IF('Importér data'!C710="type",'Importér data'!N710,"")</f>
        <v/>
      </c>
      <c r="E699" s="24"/>
      <c r="F699" s="45"/>
      <c r="G699" s="45"/>
      <c r="H699" s="24"/>
      <c r="I699" s="25" t="str">
        <f>IFERROR(($D699/50-_xlfn.XLOOKUP($E699,$O$35:$O$43,$T$35:$T$43)*F699)/$P$9,"")</f>
        <v/>
      </c>
      <c r="J699" s="25" t="str">
        <f>IFERROR(_xlfn.XLOOKUP($E699,$O$35:$O$43,$T$35:$T$43)*G699/$P$9,"")</f>
        <v/>
      </c>
      <c r="K699" s="25" t="str">
        <f>IF(E699=$O$43,($D699/50-$T$43*$P$9)/$P$9,"")</f>
        <v/>
      </c>
      <c r="L699" s="25" t="str">
        <f>IFERROR(($D699/50-_xlfn.XLOOKUP($H699,$O$48:$O$62,$T$48:$T$62)*$P$14)/$P$9,"")</f>
        <v/>
      </c>
      <c r="M699" s="14">
        <f t="shared" si="10"/>
        <v>0</v>
      </c>
    </row>
    <row r="700" spans="2:13" x14ac:dyDescent="0.25">
      <c r="B700" s="10" t="str">
        <f>IF('Importér data'!C711="type",'Importér data'!F711,"")</f>
        <v/>
      </c>
      <c r="C700" s="10">
        <f>'Importér data'!H711</f>
        <v>0</v>
      </c>
      <c r="D700" s="32" t="str">
        <f>IF('Importér data'!C711="type",'Importér data'!N711,"")</f>
        <v/>
      </c>
      <c r="E700" s="24"/>
      <c r="F700" s="45"/>
      <c r="G700" s="45"/>
      <c r="H700" s="24"/>
      <c r="I700" s="25" t="str">
        <f>IFERROR(($D700/50-_xlfn.XLOOKUP($E700,$O$35:$O$43,$T$35:$T$43)*F700)/$P$9,"")</f>
        <v/>
      </c>
      <c r="J700" s="25" t="str">
        <f>IFERROR(_xlfn.XLOOKUP($E700,$O$35:$O$43,$T$35:$T$43)*G700/$P$9,"")</f>
        <v/>
      </c>
      <c r="K700" s="25" t="str">
        <f>IF(E700=$O$43,($D700/50-$T$43*$P$9)/$P$9,"")</f>
        <v/>
      </c>
      <c r="L700" s="25" t="str">
        <f>IFERROR(($D700/50-_xlfn.XLOOKUP($H700,$O$48:$O$62,$T$48:$T$62)*$P$14)/$P$9,"")</f>
        <v/>
      </c>
      <c r="M700" s="14">
        <f t="shared" si="10"/>
        <v>0</v>
      </c>
    </row>
    <row r="701" spans="2:13" x14ac:dyDescent="0.25">
      <c r="B701" s="10" t="str">
        <f>IF('Importér data'!C712="type",'Importér data'!F712,"")</f>
        <v/>
      </c>
      <c r="C701" s="10">
        <f>'Importér data'!H712</f>
        <v>0</v>
      </c>
      <c r="D701" s="32" t="str">
        <f>IF('Importér data'!C712="type",'Importér data'!N712,"")</f>
        <v/>
      </c>
      <c r="E701" s="24"/>
      <c r="F701" s="45"/>
      <c r="G701" s="45"/>
      <c r="H701" s="24"/>
      <c r="I701" s="25" t="str">
        <f>IFERROR(($D701/50-_xlfn.XLOOKUP($E701,$O$35:$O$43,$T$35:$T$43)*F701)/$P$9,"")</f>
        <v/>
      </c>
      <c r="J701" s="25" t="str">
        <f>IFERROR(_xlfn.XLOOKUP($E701,$O$35:$O$43,$T$35:$T$43)*G701/$P$9,"")</f>
        <v/>
      </c>
      <c r="K701" s="25" t="str">
        <f>IF(E701=$O$43,($D701/50-$T$43*$P$9)/$P$9,"")</f>
        <v/>
      </c>
      <c r="L701" s="25" t="str">
        <f>IFERROR(($D701/50-_xlfn.XLOOKUP($H701,$O$48:$O$62,$T$48:$T$62)*$P$14)/$P$9,"")</f>
        <v/>
      </c>
      <c r="M701" s="14">
        <f t="shared" si="10"/>
        <v>0</v>
      </c>
    </row>
    <row r="702" spans="2:13" x14ac:dyDescent="0.25">
      <c r="B702" s="10" t="str">
        <f>IF('Importér data'!C713="type",'Importér data'!F713,"")</f>
        <v/>
      </c>
      <c r="C702" s="10">
        <f>'Importér data'!H713</f>
        <v>0</v>
      </c>
      <c r="D702" s="32" t="str">
        <f>IF('Importér data'!C713="type",'Importér data'!N713,"")</f>
        <v/>
      </c>
      <c r="E702" s="24"/>
      <c r="F702" s="45"/>
      <c r="G702" s="45"/>
      <c r="H702" s="24"/>
      <c r="I702" s="25" t="str">
        <f>IFERROR(($D702/50-_xlfn.XLOOKUP($E702,$O$35:$O$43,$T$35:$T$43)*F702)/$P$9,"")</f>
        <v/>
      </c>
      <c r="J702" s="25" t="str">
        <f>IFERROR(_xlfn.XLOOKUP($E702,$O$35:$O$43,$T$35:$T$43)*G702/$P$9,"")</f>
        <v/>
      </c>
      <c r="K702" s="25" t="str">
        <f>IF(E702=$O$43,($D702/50-$T$43*$P$9)/$P$9,"")</f>
        <v/>
      </c>
      <c r="L702" s="25" t="str">
        <f>IFERROR(($D702/50-_xlfn.XLOOKUP($H702,$O$48:$O$62,$T$48:$T$62)*$P$14)/$P$9,"")</f>
        <v/>
      </c>
      <c r="M702" s="14">
        <f t="shared" si="10"/>
        <v>0</v>
      </c>
    </row>
    <row r="703" spans="2:13" x14ac:dyDescent="0.25">
      <c r="B703" s="10" t="str">
        <f>IF('Importér data'!C714="type",'Importér data'!F714,"")</f>
        <v/>
      </c>
      <c r="C703" s="10">
        <f>'Importér data'!H714</f>
        <v>0</v>
      </c>
      <c r="D703" s="32" t="str">
        <f>IF('Importér data'!C714="type",'Importér data'!N714,"")</f>
        <v/>
      </c>
      <c r="E703" s="24"/>
      <c r="F703" s="45"/>
      <c r="G703" s="45"/>
      <c r="H703" s="24"/>
      <c r="I703" s="25" t="str">
        <f>IFERROR(($D703/50-_xlfn.XLOOKUP($E703,$O$35:$O$43,$T$35:$T$43)*F703)/$P$9,"")</f>
        <v/>
      </c>
      <c r="J703" s="25" t="str">
        <f>IFERROR(_xlfn.XLOOKUP($E703,$O$35:$O$43,$T$35:$T$43)*G703/$P$9,"")</f>
        <v/>
      </c>
      <c r="K703" s="25" t="str">
        <f>IF(E703=$O$43,($D703/50-$T$43*$P$9)/$P$9,"")</f>
        <v/>
      </c>
      <c r="L703" s="25" t="str">
        <f>IFERROR(($D703/50-_xlfn.XLOOKUP($H703,$O$48:$O$62,$T$48:$T$62)*$P$14)/$P$9,"")</f>
        <v/>
      </c>
      <c r="M703" s="14">
        <f t="shared" si="10"/>
        <v>0</v>
      </c>
    </row>
    <row r="704" spans="2:13" x14ac:dyDescent="0.25">
      <c r="B704" s="10" t="str">
        <f>IF('Importér data'!C715="type",'Importér data'!F715,"")</f>
        <v/>
      </c>
      <c r="C704" s="10">
        <f>'Importér data'!H715</f>
        <v>0</v>
      </c>
      <c r="D704" s="32" t="str">
        <f>IF('Importér data'!C715="type",'Importér data'!N715,"")</f>
        <v/>
      </c>
      <c r="E704" s="24"/>
      <c r="F704" s="45"/>
      <c r="G704" s="45"/>
      <c r="H704" s="24"/>
      <c r="I704" s="25" t="str">
        <f>IFERROR(($D704/50-_xlfn.XLOOKUP($E704,$O$35:$O$43,$T$35:$T$43)*F704)/$P$9,"")</f>
        <v/>
      </c>
      <c r="J704" s="25" t="str">
        <f>IFERROR(_xlfn.XLOOKUP($E704,$O$35:$O$43,$T$35:$T$43)*G704/$P$9,"")</f>
        <v/>
      </c>
      <c r="K704" s="25" t="str">
        <f>IF(E704=$O$43,($D704/50-$T$43*$P$9)/$P$9,"")</f>
        <v/>
      </c>
      <c r="L704" s="25" t="str">
        <f>IFERROR(($D704/50-_xlfn.XLOOKUP($H704,$O$48:$O$62,$T$48:$T$62)*$P$14)/$P$9,"")</f>
        <v/>
      </c>
      <c r="M704" s="14">
        <f t="shared" si="10"/>
        <v>0</v>
      </c>
    </row>
    <row r="705" spans="2:13" x14ac:dyDescent="0.25">
      <c r="B705" s="10" t="str">
        <f>IF('Importér data'!C716="type",'Importér data'!F716,"")</f>
        <v/>
      </c>
      <c r="C705" s="10">
        <f>'Importér data'!H716</f>
        <v>0</v>
      </c>
      <c r="D705" s="32" t="str">
        <f>IF('Importér data'!C716="type",'Importér data'!N716,"")</f>
        <v/>
      </c>
      <c r="E705" s="24"/>
      <c r="F705" s="45"/>
      <c r="G705" s="45"/>
      <c r="H705" s="24"/>
      <c r="I705" s="25" t="str">
        <f>IFERROR(($D705/50-_xlfn.XLOOKUP($E705,$O$35:$O$43,$T$35:$T$43)*F705)/$P$9,"")</f>
        <v/>
      </c>
      <c r="J705" s="25" t="str">
        <f>IFERROR(_xlfn.XLOOKUP($E705,$O$35:$O$43,$T$35:$T$43)*G705/$P$9,"")</f>
        <v/>
      </c>
      <c r="K705" s="25" t="str">
        <f>IF(E705=$O$43,($D705/50-$T$43*$P$9)/$P$9,"")</f>
        <v/>
      </c>
      <c r="L705" s="25" t="str">
        <f>IFERROR(($D705/50-_xlfn.XLOOKUP($H705,$O$48:$O$62,$T$48:$T$62)*$P$14)/$P$9,"")</f>
        <v/>
      </c>
      <c r="M705" s="14">
        <f t="shared" si="10"/>
        <v>0</v>
      </c>
    </row>
    <row r="706" spans="2:13" x14ac:dyDescent="0.25">
      <c r="B706" s="10" t="str">
        <f>IF('Importér data'!C717="type",'Importér data'!F717,"")</f>
        <v/>
      </c>
      <c r="C706" s="10">
        <f>'Importér data'!H717</f>
        <v>0</v>
      </c>
      <c r="D706" s="32" t="str">
        <f>IF('Importér data'!C717="type",'Importér data'!N717,"")</f>
        <v/>
      </c>
      <c r="E706" s="24"/>
      <c r="F706" s="45"/>
      <c r="G706" s="45"/>
      <c r="H706" s="24"/>
      <c r="I706" s="25" t="str">
        <f>IFERROR(($D706/50-_xlfn.XLOOKUP($E706,$O$35:$O$43,$T$35:$T$43)*F706)/$P$9,"")</f>
        <v/>
      </c>
      <c r="J706" s="25" t="str">
        <f>IFERROR(_xlfn.XLOOKUP($E706,$O$35:$O$43,$T$35:$T$43)*G706/$P$9,"")</f>
        <v/>
      </c>
      <c r="K706" s="25" t="str">
        <f>IF(E706=$O$43,($D706/50-$T$43*$P$9)/$P$9,"")</f>
        <v/>
      </c>
      <c r="L706" s="25" t="str">
        <f>IFERROR(($D706/50-_xlfn.XLOOKUP($H706,$O$48:$O$62,$T$48:$T$62)*$P$14)/$P$9,"")</f>
        <v/>
      </c>
      <c r="M706" s="14">
        <f t="shared" si="10"/>
        <v>0</v>
      </c>
    </row>
    <row r="707" spans="2:13" x14ac:dyDescent="0.25">
      <c r="B707" s="10" t="str">
        <f>IF('Importér data'!C718="type",'Importér data'!F718,"")</f>
        <v/>
      </c>
      <c r="C707" s="10">
        <f>'Importér data'!H718</f>
        <v>0</v>
      </c>
      <c r="D707" s="32" t="str">
        <f>IF('Importér data'!C718="type",'Importér data'!N718,"")</f>
        <v/>
      </c>
      <c r="E707" s="24"/>
      <c r="F707" s="45"/>
      <c r="G707" s="45"/>
      <c r="H707" s="24"/>
      <c r="I707" s="25" t="str">
        <f>IFERROR(($D707/50-_xlfn.XLOOKUP($E707,$O$35:$O$43,$T$35:$T$43)*F707)/$P$9,"")</f>
        <v/>
      </c>
      <c r="J707" s="25" t="str">
        <f>IFERROR(_xlfn.XLOOKUP($E707,$O$35:$O$43,$T$35:$T$43)*G707/$P$9,"")</f>
        <v/>
      </c>
      <c r="K707" s="25" t="str">
        <f>IF(E707=$O$43,($D707/50-$T$43*$P$9)/$P$9,"")</f>
        <v/>
      </c>
      <c r="L707" s="25" t="str">
        <f>IFERROR(($D707/50-_xlfn.XLOOKUP($H707,$O$48:$O$62,$T$48:$T$62)*$P$14)/$P$9,"")</f>
        <v/>
      </c>
      <c r="M707" s="14">
        <f t="shared" si="10"/>
        <v>0</v>
      </c>
    </row>
    <row r="708" spans="2:13" x14ac:dyDescent="0.25">
      <c r="B708" s="10" t="str">
        <f>IF('Importér data'!C719="type",'Importér data'!F719,"")</f>
        <v/>
      </c>
      <c r="C708" s="10">
        <f>'Importér data'!H719</f>
        <v>0</v>
      </c>
      <c r="D708" s="32" t="str">
        <f>IF('Importér data'!C719="type",'Importér data'!N719,"")</f>
        <v/>
      </c>
      <c r="E708" s="24"/>
      <c r="F708" s="45"/>
      <c r="G708" s="45"/>
      <c r="H708" s="24"/>
      <c r="I708" s="25" t="str">
        <f>IFERROR(($D708/50-_xlfn.XLOOKUP($E708,$O$35:$O$43,$T$35:$T$43)*F708)/$P$9,"")</f>
        <v/>
      </c>
      <c r="J708" s="25" t="str">
        <f>IFERROR(_xlfn.XLOOKUP($E708,$O$35:$O$43,$T$35:$T$43)*G708/$P$9,"")</f>
        <v/>
      </c>
      <c r="K708" s="25" t="str">
        <f>IF(E708=$O$43,($D708/50-$T$43*$P$9)/$P$9,"")</f>
        <v/>
      </c>
      <c r="L708" s="25" t="str">
        <f>IFERROR(($D708/50-_xlfn.XLOOKUP($H708,$O$48:$O$62,$T$48:$T$62)*$P$14)/$P$9,"")</f>
        <v/>
      </c>
      <c r="M708" s="14">
        <f t="shared" si="10"/>
        <v>0</v>
      </c>
    </row>
    <row r="709" spans="2:13" x14ac:dyDescent="0.25">
      <c r="B709" s="10" t="str">
        <f>IF('Importér data'!C720="type",'Importér data'!F720,"")</f>
        <v/>
      </c>
      <c r="C709" s="10">
        <f>'Importér data'!H720</f>
        <v>0</v>
      </c>
      <c r="D709" s="32" t="str">
        <f>IF('Importér data'!C720="type",'Importér data'!N720,"")</f>
        <v/>
      </c>
      <c r="E709" s="24"/>
      <c r="F709" s="45"/>
      <c r="G709" s="45"/>
      <c r="H709" s="24"/>
      <c r="I709" s="25" t="str">
        <f>IFERROR(($D709/50-_xlfn.XLOOKUP($E709,$O$35:$O$43,$T$35:$T$43)*F709)/$P$9,"")</f>
        <v/>
      </c>
      <c r="J709" s="25" t="str">
        <f>IFERROR(_xlfn.XLOOKUP($E709,$O$35:$O$43,$T$35:$T$43)*G709/$P$9,"")</f>
        <v/>
      </c>
      <c r="K709" s="25" t="str">
        <f>IF(E709=$O$43,($D709/50-$T$43*$P$9)/$P$9,"")</f>
        <v/>
      </c>
      <c r="L709" s="25" t="str">
        <f>IFERROR(($D709/50-_xlfn.XLOOKUP($H709,$O$48:$O$62,$T$48:$T$62)*$P$14)/$P$9,"")</f>
        <v/>
      </c>
      <c r="M709" s="14">
        <f t="shared" si="10"/>
        <v>0</v>
      </c>
    </row>
    <row r="710" spans="2:13" x14ac:dyDescent="0.25">
      <c r="B710" s="10" t="str">
        <f>IF('Importér data'!C721="type",'Importér data'!F721,"")</f>
        <v/>
      </c>
      <c r="C710" s="10">
        <f>'Importér data'!H721</f>
        <v>0</v>
      </c>
      <c r="D710" s="32" t="str">
        <f>IF('Importér data'!C721="type",'Importér data'!N721,"")</f>
        <v/>
      </c>
      <c r="E710" s="24"/>
      <c r="F710" s="45"/>
      <c r="G710" s="45"/>
      <c r="H710" s="24"/>
      <c r="I710" s="25" t="str">
        <f>IFERROR(($D710/50-_xlfn.XLOOKUP($E710,$O$35:$O$43,$T$35:$T$43)*F710)/$P$9,"")</f>
        <v/>
      </c>
      <c r="J710" s="25" t="str">
        <f>IFERROR(_xlfn.XLOOKUP($E710,$O$35:$O$43,$T$35:$T$43)*G710/$P$9,"")</f>
        <v/>
      </c>
      <c r="K710" s="25" t="str">
        <f>IF(E710=$O$43,($D710/50-$T$43*$P$9)/$P$9,"")</f>
        <v/>
      </c>
      <c r="L710" s="25" t="str">
        <f>IFERROR(($D710/50-_xlfn.XLOOKUP($H710,$O$48:$O$62,$T$48:$T$62)*$P$14)/$P$9,"")</f>
        <v/>
      </c>
      <c r="M710" s="14">
        <f t="shared" ref="M710:M773" si="11">SUM(I710:L710)</f>
        <v>0</v>
      </c>
    </row>
    <row r="711" spans="2:13" x14ac:dyDescent="0.25">
      <c r="B711" s="10" t="str">
        <f>IF('Importér data'!C722="type",'Importér data'!F722,"")</f>
        <v/>
      </c>
      <c r="C711" s="10">
        <f>'Importér data'!H722</f>
        <v>0</v>
      </c>
      <c r="D711" s="32" t="str">
        <f>IF('Importér data'!C722="type",'Importér data'!N722,"")</f>
        <v/>
      </c>
      <c r="E711" s="24"/>
      <c r="F711" s="45"/>
      <c r="G711" s="45"/>
      <c r="H711" s="24"/>
      <c r="I711" s="25" t="str">
        <f>IFERROR(($D711/50-_xlfn.XLOOKUP($E711,$O$35:$O$43,$T$35:$T$43)*F711)/$P$9,"")</f>
        <v/>
      </c>
      <c r="J711" s="25" t="str">
        <f>IFERROR(_xlfn.XLOOKUP($E711,$O$35:$O$43,$T$35:$T$43)*G711/$P$9,"")</f>
        <v/>
      </c>
      <c r="K711" s="25" t="str">
        <f>IF(E711=$O$43,($D711/50-$T$43*$P$9)/$P$9,"")</f>
        <v/>
      </c>
      <c r="L711" s="25" t="str">
        <f>IFERROR(($D711/50-_xlfn.XLOOKUP($H711,$O$48:$O$62,$T$48:$T$62)*$P$14)/$P$9,"")</f>
        <v/>
      </c>
      <c r="M711" s="14">
        <f t="shared" si="11"/>
        <v>0</v>
      </c>
    </row>
    <row r="712" spans="2:13" x14ac:dyDescent="0.25">
      <c r="B712" s="10" t="str">
        <f>IF('Importér data'!C723="type",'Importér data'!F723,"")</f>
        <v/>
      </c>
      <c r="C712" s="10">
        <f>'Importér data'!H723</f>
        <v>0</v>
      </c>
      <c r="D712" s="32" t="str">
        <f>IF('Importér data'!C723="type",'Importér data'!N723,"")</f>
        <v/>
      </c>
      <c r="E712" s="24"/>
      <c r="F712" s="45"/>
      <c r="G712" s="45"/>
      <c r="H712" s="24"/>
      <c r="I712" s="25" t="str">
        <f>IFERROR(($D712/50-_xlfn.XLOOKUP($E712,$O$35:$O$43,$T$35:$T$43)*F712)/$P$9,"")</f>
        <v/>
      </c>
      <c r="J712" s="25" t="str">
        <f>IFERROR(_xlfn.XLOOKUP($E712,$O$35:$O$43,$T$35:$T$43)*G712/$P$9,"")</f>
        <v/>
      </c>
      <c r="K712" s="25" t="str">
        <f>IF(E712=$O$43,($D712/50-$T$43*$P$9)/$P$9,"")</f>
        <v/>
      </c>
      <c r="L712" s="25" t="str">
        <f>IFERROR(($D712/50-_xlfn.XLOOKUP($H712,$O$48:$O$62,$T$48:$T$62)*$P$14)/$P$9,"")</f>
        <v/>
      </c>
      <c r="M712" s="14">
        <f t="shared" si="11"/>
        <v>0</v>
      </c>
    </row>
    <row r="713" spans="2:13" x14ac:dyDescent="0.25">
      <c r="B713" s="10" t="str">
        <f>IF('Importér data'!C724="type",'Importér data'!F724,"")</f>
        <v/>
      </c>
      <c r="C713" s="10">
        <f>'Importér data'!H724</f>
        <v>0</v>
      </c>
      <c r="D713" s="32" t="str">
        <f>IF('Importér data'!C724="type",'Importér data'!N724,"")</f>
        <v/>
      </c>
      <c r="E713" s="24"/>
      <c r="F713" s="45"/>
      <c r="G713" s="45"/>
      <c r="H713" s="24"/>
      <c r="I713" s="25" t="str">
        <f>IFERROR(($D713/50-_xlfn.XLOOKUP($E713,$O$35:$O$43,$T$35:$T$43)*F713)/$P$9,"")</f>
        <v/>
      </c>
      <c r="J713" s="25" t="str">
        <f>IFERROR(_xlfn.XLOOKUP($E713,$O$35:$O$43,$T$35:$T$43)*G713/$P$9,"")</f>
        <v/>
      </c>
      <c r="K713" s="25" t="str">
        <f>IF(E713=$O$43,($D713/50-$T$43*$P$9)/$P$9,"")</f>
        <v/>
      </c>
      <c r="L713" s="25" t="str">
        <f>IFERROR(($D713/50-_xlfn.XLOOKUP($H713,$O$48:$O$62,$T$48:$T$62)*$P$14)/$P$9,"")</f>
        <v/>
      </c>
      <c r="M713" s="14">
        <f t="shared" si="11"/>
        <v>0</v>
      </c>
    </row>
    <row r="714" spans="2:13" x14ac:dyDescent="0.25">
      <c r="B714" s="10" t="str">
        <f>IF('Importér data'!C725="type",'Importér data'!F725,"")</f>
        <v/>
      </c>
      <c r="C714" s="10">
        <f>'Importér data'!H725</f>
        <v>0</v>
      </c>
      <c r="D714" s="32" t="str">
        <f>IF('Importér data'!C725="type",'Importér data'!N725,"")</f>
        <v/>
      </c>
      <c r="E714" s="24"/>
      <c r="F714" s="45"/>
      <c r="G714" s="45"/>
      <c r="H714" s="24"/>
      <c r="I714" s="25" t="str">
        <f>IFERROR(($D714/50-_xlfn.XLOOKUP($E714,$O$35:$O$43,$T$35:$T$43)*F714)/$P$9,"")</f>
        <v/>
      </c>
      <c r="J714" s="25" t="str">
        <f>IFERROR(_xlfn.XLOOKUP($E714,$O$35:$O$43,$T$35:$T$43)*G714/$P$9,"")</f>
        <v/>
      </c>
      <c r="K714" s="25" t="str">
        <f>IF(E714=$O$43,($D714/50-$T$43*$P$9)/$P$9,"")</f>
        <v/>
      </c>
      <c r="L714" s="25" t="str">
        <f>IFERROR(($D714/50-_xlfn.XLOOKUP($H714,$O$48:$O$62,$T$48:$T$62)*$P$14)/$P$9,"")</f>
        <v/>
      </c>
      <c r="M714" s="14">
        <f t="shared" si="11"/>
        <v>0</v>
      </c>
    </row>
    <row r="715" spans="2:13" x14ac:dyDescent="0.25">
      <c r="B715" s="10" t="str">
        <f>IF('Importér data'!C726="type",'Importér data'!F726,"")</f>
        <v/>
      </c>
      <c r="C715" s="10">
        <f>'Importér data'!H726</f>
        <v>0</v>
      </c>
      <c r="D715" s="32" t="str">
        <f>IF('Importér data'!C726="type",'Importér data'!N726,"")</f>
        <v/>
      </c>
      <c r="E715" s="24"/>
      <c r="F715" s="45"/>
      <c r="G715" s="45"/>
      <c r="H715" s="24"/>
      <c r="I715" s="25" t="str">
        <f>IFERROR(($D715/50-_xlfn.XLOOKUP($E715,$O$35:$O$43,$T$35:$T$43)*F715)/$P$9,"")</f>
        <v/>
      </c>
      <c r="J715" s="25" t="str">
        <f>IFERROR(_xlfn.XLOOKUP($E715,$O$35:$O$43,$T$35:$T$43)*G715/$P$9,"")</f>
        <v/>
      </c>
      <c r="K715" s="25" t="str">
        <f>IF(E715=$O$43,($D715/50-$T$43*$P$9)/$P$9,"")</f>
        <v/>
      </c>
      <c r="L715" s="25" t="str">
        <f>IFERROR(($D715/50-_xlfn.XLOOKUP($H715,$O$48:$O$62,$T$48:$T$62)*$P$14)/$P$9,"")</f>
        <v/>
      </c>
      <c r="M715" s="14">
        <f t="shared" si="11"/>
        <v>0</v>
      </c>
    </row>
    <row r="716" spans="2:13" x14ac:dyDescent="0.25">
      <c r="B716" s="10" t="str">
        <f>IF('Importér data'!C727="type",'Importér data'!F727,"")</f>
        <v/>
      </c>
      <c r="C716" s="10">
        <f>'Importér data'!H727</f>
        <v>0</v>
      </c>
      <c r="D716" s="32" t="str">
        <f>IF('Importér data'!C727="type",'Importér data'!N727,"")</f>
        <v/>
      </c>
      <c r="E716" s="24"/>
      <c r="F716" s="45"/>
      <c r="G716" s="45"/>
      <c r="H716" s="24"/>
      <c r="I716" s="25" t="str">
        <f>IFERROR(($D716/50-_xlfn.XLOOKUP($E716,$O$35:$O$43,$T$35:$T$43)*F716)/$P$9,"")</f>
        <v/>
      </c>
      <c r="J716" s="25" t="str">
        <f>IFERROR(_xlfn.XLOOKUP($E716,$O$35:$O$43,$T$35:$T$43)*G716/$P$9,"")</f>
        <v/>
      </c>
      <c r="K716" s="25" t="str">
        <f>IF(E716=$O$43,($D716/50-$T$43*$P$9)/$P$9,"")</f>
        <v/>
      </c>
      <c r="L716" s="25" t="str">
        <f>IFERROR(($D716/50-_xlfn.XLOOKUP($H716,$O$48:$O$62,$T$48:$T$62)*$P$14)/$P$9,"")</f>
        <v/>
      </c>
      <c r="M716" s="14">
        <f t="shared" si="11"/>
        <v>0</v>
      </c>
    </row>
    <row r="717" spans="2:13" x14ac:dyDescent="0.25">
      <c r="B717" s="10" t="str">
        <f>IF('Importér data'!C728="type",'Importér data'!F728,"")</f>
        <v/>
      </c>
      <c r="C717" s="10">
        <f>'Importér data'!H728</f>
        <v>0</v>
      </c>
      <c r="D717" s="32" t="str">
        <f>IF('Importér data'!C728="type",'Importér data'!N728,"")</f>
        <v/>
      </c>
      <c r="E717" s="24"/>
      <c r="F717" s="45"/>
      <c r="G717" s="45"/>
      <c r="H717" s="24"/>
      <c r="I717" s="25" t="str">
        <f>IFERROR(($D717/50-_xlfn.XLOOKUP($E717,$O$35:$O$43,$T$35:$T$43)*F717)/$P$9,"")</f>
        <v/>
      </c>
      <c r="J717" s="25" t="str">
        <f>IFERROR(_xlfn.XLOOKUP($E717,$O$35:$O$43,$T$35:$T$43)*G717/$P$9,"")</f>
        <v/>
      </c>
      <c r="K717" s="25" t="str">
        <f>IF(E717=$O$43,($D717/50-$T$43*$P$9)/$P$9,"")</f>
        <v/>
      </c>
      <c r="L717" s="25" t="str">
        <f>IFERROR(($D717/50-_xlfn.XLOOKUP($H717,$O$48:$O$62,$T$48:$T$62)*$P$14)/$P$9,"")</f>
        <v/>
      </c>
      <c r="M717" s="14">
        <f t="shared" si="11"/>
        <v>0</v>
      </c>
    </row>
    <row r="718" spans="2:13" x14ac:dyDescent="0.25">
      <c r="B718" s="10" t="str">
        <f>IF('Importér data'!C729="type",'Importér data'!F729,"")</f>
        <v/>
      </c>
      <c r="C718" s="10">
        <f>'Importér data'!H729</f>
        <v>0</v>
      </c>
      <c r="D718" s="32" t="str">
        <f>IF('Importér data'!C729="type",'Importér data'!N729,"")</f>
        <v/>
      </c>
      <c r="E718" s="24"/>
      <c r="F718" s="45"/>
      <c r="G718" s="45"/>
      <c r="H718" s="24"/>
      <c r="I718" s="25" t="str">
        <f>IFERROR(($D718/50-_xlfn.XLOOKUP($E718,$O$35:$O$43,$T$35:$T$43)*F718)/$P$9,"")</f>
        <v/>
      </c>
      <c r="J718" s="25" t="str">
        <f>IFERROR(_xlfn.XLOOKUP($E718,$O$35:$O$43,$T$35:$T$43)*G718/$P$9,"")</f>
        <v/>
      </c>
      <c r="K718" s="25" t="str">
        <f>IF(E718=$O$43,($D718/50-$T$43*$P$9)/$P$9,"")</f>
        <v/>
      </c>
      <c r="L718" s="25" t="str">
        <f>IFERROR(($D718/50-_xlfn.XLOOKUP($H718,$O$48:$O$62,$T$48:$T$62)*$P$14)/$P$9,"")</f>
        <v/>
      </c>
      <c r="M718" s="14">
        <f t="shared" si="11"/>
        <v>0</v>
      </c>
    </row>
    <row r="719" spans="2:13" x14ac:dyDescent="0.25">
      <c r="B719" s="10" t="str">
        <f>IF('Importér data'!C730="type",'Importér data'!F730,"")</f>
        <v/>
      </c>
      <c r="C719" s="10">
        <f>'Importér data'!H730</f>
        <v>0</v>
      </c>
      <c r="D719" s="32" t="str">
        <f>IF('Importér data'!C730="type",'Importér data'!N730,"")</f>
        <v/>
      </c>
      <c r="E719" s="24"/>
      <c r="F719" s="45"/>
      <c r="G719" s="45"/>
      <c r="H719" s="24"/>
      <c r="I719" s="25" t="str">
        <f>IFERROR(($D719/50-_xlfn.XLOOKUP($E719,$O$35:$O$43,$T$35:$T$43)*F719)/$P$9,"")</f>
        <v/>
      </c>
      <c r="J719" s="25" t="str">
        <f>IFERROR(_xlfn.XLOOKUP($E719,$O$35:$O$43,$T$35:$T$43)*G719/$P$9,"")</f>
        <v/>
      </c>
      <c r="K719" s="25" t="str">
        <f>IF(E719=$O$43,($D719/50-$T$43*$P$9)/$P$9,"")</f>
        <v/>
      </c>
      <c r="L719" s="25" t="str">
        <f>IFERROR(($D719/50-_xlfn.XLOOKUP($H719,$O$48:$O$62,$T$48:$T$62)*$P$14)/$P$9,"")</f>
        <v/>
      </c>
      <c r="M719" s="14">
        <f t="shared" si="11"/>
        <v>0</v>
      </c>
    </row>
    <row r="720" spans="2:13" x14ac:dyDescent="0.25">
      <c r="B720" s="10" t="str">
        <f>IF('Importér data'!C731="type",'Importér data'!F731,"")</f>
        <v/>
      </c>
      <c r="C720" s="10">
        <f>'Importér data'!H731</f>
        <v>0</v>
      </c>
      <c r="D720" s="32" t="str">
        <f>IF('Importér data'!C731="type",'Importér data'!N731,"")</f>
        <v/>
      </c>
      <c r="E720" s="24"/>
      <c r="F720" s="45"/>
      <c r="G720" s="45"/>
      <c r="H720" s="24"/>
      <c r="I720" s="25" t="str">
        <f>IFERROR(($D720/50-_xlfn.XLOOKUP($E720,$O$35:$O$43,$T$35:$T$43)*F720)/$P$9,"")</f>
        <v/>
      </c>
      <c r="J720" s="25" t="str">
        <f>IFERROR(_xlfn.XLOOKUP($E720,$O$35:$O$43,$T$35:$T$43)*G720/$P$9,"")</f>
        <v/>
      </c>
      <c r="K720" s="25" t="str">
        <f>IF(E720=$O$43,($D720/50-$T$43*$P$9)/$P$9,"")</f>
        <v/>
      </c>
      <c r="L720" s="25" t="str">
        <f>IFERROR(($D720/50-_xlfn.XLOOKUP($H720,$O$48:$O$62,$T$48:$T$62)*$P$14)/$P$9,"")</f>
        <v/>
      </c>
      <c r="M720" s="14">
        <f t="shared" si="11"/>
        <v>0</v>
      </c>
    </row>
    <row r="721" spans="2:13" x14ac:dyDescent="0.25">
      <c r="B721" s="10" t="str">
        <f>IF('Importér data'!C732="type",'Importér data'!F732,"")</f>
        <v/>
      </c>
      <c r="C721" s="10">
        <f>'Importér data'!H732</f>
        <v>0</v>
      </c>
      <c r="D721" s="32" t="str">
        <f>IF('Importér data'!C732="type",'Importér data'!N732,"")</f>
        <v/>
      </c>
      <c r="E721" s="24"/>
      <c r="F721" s="45"/>
      <c r="G721" s="45"/>
      <c r="H721" s="24"/>
      <c r="I721" s="25" t="str">
        <f>IFERROR(($D721/50-_xlfn.XLOOKUP($E721,$O$35:$O$43,$T$35:$T$43)*F721)/$P$9,"")</f>
        <v/>
      </c>
      <c r="J721" s="25" t="str">
        <f>IFERROR(_xlfn.XLOOKUP($E721,$O$35:$O$43,$T$35:$T$43)*G721/$P$9,"")</f>
        <v/>
      </c>
      <c r="K721" s="25" t="str">
        <f>IF(E721=$O$43,($D721/50-$T$43*$P$9)/$P$9,"")</f>
        <v/>
      </c>
      <c r="L721" s="25" t="str">
        <f>IFERROR(($D721/50-_xlfn.XLOOKUP($H721,$O$48:$O$62,$T$48:$T$62)*$P$14)/$P$9,"")</f>
        <v/>
      </c>
      <c r="M721" s="14">
        <f t="shared" si="11"/>
        <v>0</v>
      </c>
    </row>
    <row r="722" spans="2:13" x14ac:dyDescent="0.25">
      <c r="B722" s="10" t="str">
        <f>IF('Importér data'!C733="type",'Importér data'!F733,"")</f>
        <v/>
      </c>
      <c r="C722" s="10">
        <f>'Importér data'!H733</f>
        <v>0</v>
      </c>
      <c r="D722" s="32" t="str">
        <f>IF('Importér data'!C733="type",'Importér data'!N733,"")</f>
        <v/>
      </c>
      <c r="E722" s="24"/>
      <c r="F722" s="45"/>
      <c r="G722" s="45"/>
      <c r="H722" s="24"/>
      <c r="I722" s="25" t="str">
        <f>IFERROR(($D722/50-_xlfn.XLOOKUP($E722,$O$35:$O$43,$T$35:$T$43)*F722)/$P$9,"")</f>
        <v/>
      </c>
      <c r="J722" s="25" t="str">
        <f>IFERROR(_xlfn.XLOOKUP($E722,$O$35:$O$43,$T$35:$T$43)*G722/$P$9,"")</f>
        <v/>
      </c>
      <c r="K722" s="25" t="str">
        <f>IF(E722=$O$43,($D722/50-$T$43*$P$9)/$P$9,"")</f>
        <v/>
      </c>
      <c r="L722" s="25" t="str">
        <f>IFERROR(($D722/50-_xlfn.XLOOKUP($H722,$O$48:$O$62,$T$48:$T$62)*$P$14)/$P$9,"")</f>
        <v/>
      </c>
      <c r="M722" s="14">
        <f t="shared" si="11"/>
        <v>0</v>
      </c>
    </row>
    <row r="723" spans="2:13" x14ac:dyDescent="0.25">
      <c r="B723" s="10" t="str">
        <f>IF('Importér data'!C734="type",'Importér data'!F734,"")</f>
        <v/>
      </c>
      <c r="C723" s="10">
        <f>'Importér data'!H734</f>
        <v>0</v>
      </c>
      <c r="D723" s="32" t="str">
        <f>IF('Importér data'!C734="type",'Importér data'!N734,"")</f>
        <v/>
      </c>
      <c r="E723" s="24"/>
      <c r="F723" s="45"/>
      <c r="G723" s="45"/>
      <c r="H723" s="24"/>
      <c r="I723" s="25" t="str">
        <f>IFERROR(($D723/50-_xlfn.XLOOKUP($E723,$O$35:$O$43,$T$35:$T$43)*F723)/$P$9,"")</f>
        <v/>
      </c>
      <c r="J723" s="25" t="str">
        <f>IFERROR(_xlfn.XLOOKUP($E723,$O$35:$O$43,$T$35:$T$43)*G723/$P$9,"")</f>
        <v/>
      </c>
      <c r="K723" s="25" t="str">
        <f>IF(E723=$O$43,($D723/50-$T$43*$P$9)/$P$9,"")</f>
        <v/>
      </c>
      <c r="L723" s="25" t="str">
        <f>IFERROR(($D723/50-_xlfn.XLOOKUP($H723,$O$48:$O$62,$T$48:$T$62)*$P$14)/$P$9,"")</f>
        <v/>
      </c>
      <c r="M723" s="14">
        <f t="shared" si="11"/>
        <v>0</v>
      </c>
    </row>
    <row r="724" spans="2:13" x14ac:dyDescent="0.25">
      <c r="B724" s="10" t="str">
        <f>IF('Importér data'!C735="type",'Importér data'!F735,"")</f>
        <v/>
      </c>
      <c r="C724" s="10">
        <f>'Importér data'!H735</f>
        <v>0</v>
      </c>
      <c r="D724" s="32" t="str">
        <f>IF('Importér data'!C735="type",'Importér data'!N735,"")</f>
        <v/>
      </c>
      <c r="E724" s="24"/>
      <c r="F724" s="45"/>
      <c r="G724" s="45"/>
      <c r="H724" s="24"/>
      <c r="I724" s="25" t="str">
        <f>IFERROR(($D724/50-_xlfn.XLOOKUP($E724,$O$35:$O$43,$T$35:$T$43)*F724)/$P$9,"")</f>
        <v/>
      </c>
      <c r="J724" s="25" t="str">
        <f>IFERROR(_xlfn.XLOOKUP($E724,$O$35:$O$43,$T$35:$T$43)*G724/$P$9,"")</f>
        <v/>
      </c>
      <c r="K724" s="25" t="str">
        <f>IF(E724=$O$43,($D724/50-$T$43*$P$9)/$P$9,"")</f>
        <v/>
      </c>
      <c r="L724" s="25" t="str">
        <f>IFERROR(($D724/50-_xlfn.XLOOKUP($H724,$O$48:$O$62,$T$48:$T$62)*$P$14)/$P$9,"")</f>
        <v/>
      </c>
      <c r="M724" s="14">
        <f t="shared" si="11"/>
        <v>0</v>
      </c>
    </row>
    <row r="725" spans="2:13" x14ac:dyDescent="0.25">
      <c r="B725" s="10" t="str">
        <f>IF('Importér data'!C736="type",'Importér data'!F736,"")</f>
        <v/>
      </c>
      <c r="C725" s="10">
        <f>'Importér data'!H736</f>
        <v>0</v>
      </c>
      <c r="D725" s="32" t="str">
        <f>IF('Importér data'!C736="type",'Importér data'!N736,"")</f>
        <v/>
      </c>
      <c r="E725" s="24"/>
      <c r="F725" s="45"/>
      <c r="G725" s="45"/>
      <c r="H725" s="24"/>
      <c r="I725" s="25" t="str">
        <f>IFERROR(($D725/50-_xlfn.XLOOKUP($E725,$O$35:$O$43,$T$35:$T$43)*F725)/$P$9,"")</f>
        <v/>
      </c>
      <c r="J725" s="25" t="str">
        <f>IFERROR(_xlfn.XLOOKUP($E725,$O$35:$O$43,$T$35:$T$43)*G725/$P$9,"")</f>
        <v/>
      </c>
      <c r="K725" s="25" t="str">
        <f>IF(E725=$O$43,($D725/50-$T$43*$P$9)/$P$9,"")</f>
        <v/>
      </c>
      <c r="L725" s="25" t="str">
        <f>IFERROR(($D725/50-_xlfn.XLOOKUP($H725,$O$48:$O$62,$T$48:$T$62)*$P$14)/$P$9,"")</f>
        <v/>
      </c>
      <c r="M725" s="14">
        <f t="shared" si="11"/>
        <v>0</v>
      </c>
    </row>
    <row r="726" spans="2:13" x14ac:dyDescent="0.25">
      <c r="B726" s="10" t="str">
        <f>IF('Importér data'!C737="type",'Importér data'!F737,"")</f>
        <v/>
      </c>
      <c r="C726" s="10">
        <f>'Importér data'!H737</f>
        <v>0</v>
      </c>
      <c r="D726" s="32" t="str">
        <f>IF('Importér data'!C737="type",'Importér data'!N737,"")</f>
        <v/>
      </c>
      <c r="E726" s="24"/>
      <c r="F726" s="45"/>
      <c r="G726" s="45"/>
      <c r="H726" s="24"/>
      <c r="I726" s="25" t="str">
        <f>IFERROR(($D726/50-_xlfn.XLOOKUP($E726,$O$35:$O$43,$T$35:$T$43)*F726)/$P$9,"")</f>
        <v/>
      </c>
      <c r="J726" s="25" t="str">
        <f>IFERROR(_xlfn.XLOOKUP($E726,$O$35:$O$43,$T$35:$T$43)*G726/$P$9,"")</f>
        <v/>
      </c>
      <c r="K726" s="25" t="str">
        <f>IF(E726=$O$43,($D726/50-$T$43*$P$9)/$P$9,"")</f>
        <v/>
      </c>
      <c r="L726" s="25" t="str">
        <f>IFERROR(($D726/50-_xlfn.XLOOKUP($H726,$O$48:$O$62,$T$48:$T$62)*$P$14)/$P$9,"")</f>
        <v/>
      </c>
      <c r="M726" s="14">
        <f t="shared" si="11"/>
        <v>0</v>
      </c>
    </row>
    <row r="727" spans="2:13" x14ac:dyDescent="0.25">
      <c r="B727" s="10" t="str">
        <f>IF('Importér data'!C738="type",'Importér data'!F738,"")</f>
        <v/>
      </c>
      <c r="C727" s="10">
        <f>'Importér data'!H738</f>
        <v>0</v>
      </c>
      <c r="D727" s="32" t="str">
        <f>IF('Importér data'!C738="type",'Importér data'!N738,"")</f>
        <v/>
      </c>
      <c r="E727" s="24"/>
      <c r="F727" s="45"/>
      <c r="G727" s="45"/>
      <c r="H727" s="24"/>
      <c r="I727" s="25" t="str">
        <f>IFERROR(($D727/50-_xlfn.XLOOKUP($E727,$O$35:$O$43,$T$35:$T$43)*F727)/$P$9,"")</f>
        <v/>
      </c>
      <c r="J727" s="25" t="str">
        <f>IFERROR(_xlfn.XLOOKUP($E727,$O$35:$O$43,$T$35:$T$43)*G727/$P$9,"")</f>
        <v/>
      </c>
      <c r="K727" s="25" t="str">
        <f>IF(E727=$O$43,($D727/50-$T$43*$P$9)/$P$9,"")</f>
        <v/>
      </c>
      <c r="L727" s="25" t="str">
        <f>IFERROR(($D727/50-_xlfn.XLOOKUP($H727,$O$48:$O$62,$T$48:$T$62)*$P$14)/$P$9,"")</f>
        <v/>
      </c>
      <c r="M727" s="14">
        <f t="shared" si="11"/>
        <v>0</v>
      </c>
    </row>
    <row r="728" spans="2:13" x14ac:dyDescent="0.25">
      <c r="B728" s="10" t="str">
        <f>IF('Importér data'!C739="type",'Importér data'!F739,"")</f>
        <v/>
      </c>
      <c r="C728" s="10">
        <f>'Importér data'!H739</f>
        <v>0</v>
      </c>
      <c r="D728" s="32" t="str">
        <f>IF('Importér data'!C739="type",'Importér data'!N739,"")</f>
        <v/>
      </c>
      <c r="E728" s="24"/>
      <c r="F728" s="45"/>
      <c r="G728" s="45"/>
      <c r="H728" s="24"/>
      <c r="I728" s="25" t="str">
        <f>IFERROR(($D728/50-_xlfn.XLOOKUP($E728,$O$35:$O$43,$T$35:$T$43)*F728)/$P$9,"")</f>
        <v/>
      </c>
      <c r="J728" s="25" t="str">
        <f>IFERROR(_xlfn.XLOOKUP($E728,$O$35:$O$43,$T$35:$T$43)*G728/$P$9,"")</f>
        <v/>
      </c>
      <c r="K728" s="25" t="str">
        <f>IF(E728=$O$43,($D728/50-$T$43*$P$9)/$P$9,"")</f>
        <v/>
      </c>
      <c r="L728" s="25" t="str">
        <f>IFERROR(($D728/50-_xlfn.XLOOKUP($H728,$O$48:$O$62,$T$48:$T$62)*$P$14)/$P$9,"")</f>
        <v/>
      </c>
      <c r="M728" s="14">
        <f t="shared" si="11"/>
        <v>0</v>
      </c>
    </row>
    <row r="729" spans="2:13" x14ac:dyDescent="0.25">
      <c r="B729" s="10" t="str">
        <f>IF('Importér data'!C740="type",'Importér data'!F740,"")</f>
        <v/>
      </c>
      <c r="C729" s="10">
        <f>'Importér data'!H740</f>
        <v>0</v>
      </c>
      <c r="D729" s="32" t="str">
        <f>IF('Importér data'!C740="type",'Importér data'!N740,"")</f>
        <v/>
      </c>
      <c r="E729" s="24"/>
      <c r="F729" s="45"/>
      <c r="G729" s="45"/>
      <c r="H729" s="24"/>
      <c r="I729" s="25" t="str">
        <f>IFERROR(($D729/50-_xlfn.XLOOKUP($E729,$O$35:$O$43,$T$35:$T$43)*F729)/$P$9,"")</f>
        <v/>
      </c>
      <c r="J729" s="25" t="str">
        <f>IFERROR(_xlfn.XLOOKUP($E729,$O$35:$O$43,$T$35:$T$43)*G729/$P$9,"")</f>
        <v/>
      </c>
      <c r="K729" s="25" t="str">
        <f>IF(E729=$O$43,($D729/50-$T$43*$P$9)/$P$9,"")</f>
        <v/>
      </c>
      <c r="L729" s="25" t="str">
        <f>IFERROR(($D729/50-_xlfn.XLOOKUP($H729,$O$48:$O$62,$T$48:$T$62)*$P$14)/$P$9,"")</f>
        <v/>
      </c>
      <c r="M729" s="14">
        <f t="shared" si="11"/>
        <v>0</v>
      </c>
    </row>
    <row r="730" spans="2:13" x14ac:dyDescent="0.25">
      <c r="B730" s="10" t="str">
        <f>IF('Importér data'!C741="type",'Importér data'!F741,"")</f>
        <v/>
      </c>
      <c r="C730" s="10">
        <f>'Importér data'!H741</f>
        <v>0</v>
      </c>
      <c r="D730" s="32" t="str">
        <f>IF('Importér data'!C741="type",'Importér data'!N741,"")</f>
        <v/>
      </c>
      <c r="E730" s="24"/>
      <c r="F730" s="45"/>
      <c r="G730" s="45"/>
      <c r="H730" s="24"/>
      <c r="I730" s="25" t="str">
        <f>IFERROR(($D730/50-_xlfn.XLOOKUP($E730,$O$35:$O$43,$T$35:$T$43)*F730)/$P$9,"")</f>
        <v/>
      </c>
      <c r="J730" s="25" t="str">
        <f>IFERROR(_xlfn.XLOOKUP($E730,$O$35:$O$43,$T$35:$T$43)*G730/$P$9,"")</f>
        <v/>
      </c>
      <c r="K730" s="25" t="str">
        <f>IF(E730=$O$43,($D730/50-$T$43*$P$9)/$P$9,"")</f>
        <v/>
      </c>
      <c r="L730" s="25" t="str">
        <f>IFERROR(($D730/50-_xlfn.XLOOKUP($H730,$O$48:$O$62,$T$48:$T$62)*$P$14)/$P$9,"")</f>
        <v/>
      </c>
      <c r="M730" s="14">
        <f t="shared" si="11"/>
        <v>0</v>
      </c>
    </row>
    <row r="731" spans="2:13" x14ac:dyDescent="0.25">
      <c r="B731" s="10" t="str">
        <f>IF('Importér data'!C742="type",'Importér data'!F742,"")</f>
        <v/>
      </c>
      <c r="C731" s="10">
        <f>'Importér data'!H742</f>
        <v>0</v>
      </c>
      <c r="D731" s="32" t="str">
        <f>IF('Importér data'!C742="type",'Importér data'!N742,"")</f>
        <v/>
      </c>
      <c r="E731" s="24"/>
      <c r="F731" s="45"/>
      <c r="G731" s="45"/>
      <c r="H731" s="24"/>
      <c r="I731" s="25" t="str">
        <f>IFERROR(($D731/50-_xlfn.XLOOKUP($E731,$O$35:$O$43,$T$35:$T$43)*F731)/$P$9,"")</f>
        <v/>
      </c>
      <c r="J731" s="25" t="str">
        <f>IFERROR(_xlfn.XLOOKUP($E731,$O$35:$O$43,$T$35:$T$43)*G731/$P$9,"")</f>
        <v/>
      </c>
      <c r="K731" s="25" t="str">
        <f>IF(E731=$O$43,($D731/50-$T$43*$P$9)/$P$9,"")</f>
        <v/>
      </c>
      <c r="L731" s="25" t="str">
        <f>IFERROR(($D731/50-_xlfn.XLOOKUP($H731,$O$48:$O$62,$T$48:$T$62)*$P$14)/$P$9,"")</f>
        <v/>
      </c>
      <c r="M731" s="14">
        <f t="shared" si="11"/>
        <v>0</v>
      </c>
    </row>
    <row r="732" spans="2:13" x14ac:dyDescent="0.25">
      <c r="B732" s="10" t="str">
        <f>IF('Importér data'!C743="type",'Importér data'!F743,"")</f>
        <v/>
      </c>
      <c r="C732" s="10">
        <f>'Importér data'!H743</f>
        <v>0</v>
      </c>
      <c r="D732" s="32" t="str">
        <f>IF('Importér data'!C743="type",'Importér data'!N743,"")</f>
        <v/>
      </c>
      <c r="E732" s="24"/>
      <c r="F732" s="45"/>
      <c r="G732" s="45"/>
      <c r="H732" s="24"/>
      <c r="I732" s="25" t="str">
        <f>IFERROR(($D732/50-_xlfn.XLOOKUP($E732,$O$35:$O$43,$T$35:$T$43)*F732)/$P$9,"")</f>
        <v/>
      </c>
      <c r="J732" s="25" t="str">
        <f>IFERROR(_xlfn.XLOOKUP($E732,$O$35:$O$43,$T$35:$T$43)*G732/$P$9,"")</f>
        <v/>
      </c>
      <c r="K732" s="25" t="str">
        <f>IF(E732=$O$43,($D732/50-$T$43*$P$9)/$P$9,"")</f>
        <v/>
      </c>
      <c r="L732" s="25" t="str">
        <f>IFERROR(($D732/50-_xlfn.XLOOKUP($H732,$O$48:$O$62,$T$48:$T$62)*$P$14)/$P$9,"")</f>
        <v/>
      </c>
      <c r="M732" s="14">
        <f t="shared" si="11"/>
        <v>0</v>
      </c>
    </row>
    <row r="733" spans="2:13" x14ac:dyDescent="0.25">
      <c r="B733" s="10" t="str">
        <f>IF('Importér data'!C744="type",'Importér data'!F744,"")</f>
        <v/>
      </c>
      <c r="C733" s="10">
        <f>'Importér data'!H744</f>
        <v>0</v>
      </c>
      <c r="D733" s="32" t="str">
        <f>IF('Importér data'!C744="type",'Importér data'!N744,"")</f>
        <v/>
      </c>
      <c r="E733" s="24"/>
      <c r="F733" s="45"/>
      <c r="G733" s="45"/>
      <c r="H733" s="24"/>
      <c r="I733" s="25" t="str">
        <f>IFERROR(($D733/50-_xlfn.XLOOKUP($E733,$O$35:$O$43,$T$35:$T$43)*F733)/$P$9,"")</f>
        <v/>
      </c>
      <c r="J733" s="25" t="str">
        <f>IFERROR(_xlfn.XLOOKUP($E733,$O$35:$O$43,$T$35:$T$43)*G733/$P$9,"")</f>
        <v/>
      </c>
      <c r="K733" s="25" t="str">
        <f>IF(E733=$O$43,($D733/50-$T$43*$P$9)/$P$9,"")</f>
        <v/>
      </c>
      <c r="L733" s="25" t="str">
        <f>IFERROR(($D733/50-_xlfn.XLOOKUP($H733,$O$48:$O$62,$T$48:$T$62)*$P$14)/$P$9,"")</f>
        <v/>
      </c>
      <c r="M733" s="14">
        <f t="shared" si="11"/>
        <v>0</v>
      </c>
    </row>
    <row r="734" spans="2:13" x14ac:dyDescent="0.25">
      <c r="B734" s="10" t="str">
        <f>IF('Importér data'!C745="type",'Importér data'!F745,"")</f>
        <v/>
      </c>
      <c r="C734" s="10">
        <f>'Importér data'!H745</f>
        <v>0</v>
      </c>
      <c r="D734" s="32" t="str">
        <f>IF('Importér data'!C745="type",'Importér data'!N745,"")</f>
        <v/>
      </c>
      <c r="E734" s="24"/>
      <c r="F734" s="45"/>
      <c r="G734" s="45"/>
      <c r="H734" s="24"/>
      <c r="I734" s="25" t="str">
        <f>IFERROR(($D734/50-_xlfn.XLOOKUP($E734,$O$35:$O$43,$T$35:$T$43)*F734)/$P$9,"")</f>
        <v/>
      </c>
      <c r="J734" s="25" t="str">
        <f>IFERROR(_xlfn.XLOOKUP($E734,$O$35:$O$43,$T$35:$T$43)*G734/$P$9,"")</f>
        <v/>
      </c>
      <c r="K734" s="25" t="str">
        <f>IF(E734=$O$43,($D734/50-$T$43*$P$9)/$P$9,"")</f>
        <v/>
      </c>
      <c r="L734" s="25" t="str">
        <f>IFERROR(($D734/50-_xlfn.XLOOKUP($H734,$O$48:$O$62,$T$48:$T$62)*$P$14)/$P$9,"")</f>
        <v/>
      </c>
      <c r="M734" s="14">
        <f t="shared" si="11"/>
        <v>0</v>
      </c>
    </row>
    <row r="735" spans="2:13" x14ac:dyDescent="0.25">
      <c r="B735" s="10" t="str">
        <f>IF('Importér data'!C746="type",'Importér data'!F746,"")</f>
        <v/>
      </c>
      <c r="C735" s="10">
        <f>'Importér data'!H746</f>
        <v>0</v>
      </c>
      <c r="D735" s="32" t="str">
        <f>IF('Importér data'!C746="type",'Importér data'!N746,"")</f>
        <v/>
      </c>
      <c r="E735" s="24"/>
      <c r="F735" s="45"/>
      <c r="G735" s="45"/>
      <c r="H735" s="24"/>
      <c r="I735" s="25" t="str">
        <f>IFERROR(($D735/50-_xlfn.XLOOKUP($E735,$O$35:$O$43,$T$35:$T$43)*F735)/$P$9,"")</f>
        <v/>
      </c>
      <c r="J735" s="25" t="str">
        <f>IFERROR(_xlfn.XLOOKUP($E735,$O$35:$O$43,$T$35:$T$43)*G735/$P$9,"")</f>
        <v/>
      </c>
      <c r="K735" s="25" t="str">
        <f>IF(E735=$O$43,($D735/50-$T$43*$P$9)/$P$9,"")</f>
        <v/>
      </c>
      <c r="L735" s="25" t="str">
        <f>IFERROR(($D735/50-_xlfn.XLOOKUP($H735,$O$48:$O$62,$T$48:$T$62)*$P$14)/$P$9,"")</f>
        <v/>
      </c>
      <c r="M735" s="14">
        <f t="shared" si="11"/>
        <v>0</v>
      </c>
    </row>
    <row r="736" spans="2:13" x14ac:dyDescent="0.25">
      <c r="B736" s="10" t="str">
        <f>IF('Importér data'!C747="type",'Importér data'!F747,"")</f>
        <v/>
      </c>
      <c r="C736" s="10">
        <f>'Importér data'!H747</f>
        <v>0</v>
      </c>
      <c r="D736" s="32" t="str">
        <f>IF('Importér data'!C747="type",'Importér data'!N747,"")</f>
        <v/>
      </c>
      <c r="E736" s="24"/>
      <c r="F736" s="45"/>
      <c r="G736" s="45"/>
      <c r="H736" s="24"/>
      <c r="I736" s="25" t="str">
        <f>IFERROR(($D736/50-_xlfn.XLOOKUP($E736,$O$35:$O$43,$T$35:$T$43)*F736)/$P$9,"")</f>
        <v/>
      </c>
      <c r="J736" s="25" t="str">
        <f>IFERROR(_xlfn.XLOOKUP($E736,$O$35:$O$43,$T$35:$T$43)*G736/$P$9,"")</f>
        <v/>
      </c>
      <c r="K736" s="25" t="str">
        <f>IF(E736=$O$43,($D736/50-$T$43*$P$9)/$P$9,"")</f>
        <v/>
      </c>
      <c r="L736" s="25" t="str">
        <f>IFERROR(($D736/50-_xlfn.XLOOKUP($H736,$O$48:$O$62,$T$48:$T$62)*$P$14)/$P$9,"")</f>
        <v/>
      </c>
      <c r="M736" s="14">
        <f t="shared" si="11"/>
        <v>0</v>
      </c>
    </row>
    <row r="737" spans="2:13" x14ac:dyDescent="0.25">
      <c r="B737" s="10" t="str">
        <f>IF('Importér data'!C748="type",'Importér data'!F748,"")</f>
        <v/>
      </c>
      <c r="C737" s="10">
        <f>'Importér data'!H748</f>
        <v>0</v>
      </c>
      <c r="D737" s="32" t="str">
        <f>IF('Importér data'!C748="type",'Importér data'!N748,"")</f>
        <v/>
      </c>
      <c r="E737" s="24"/>
      <c r="F737" s="45"/>
      <c r="G737" s="45"/>
      <c r="H737" s="24"/>
      <c r="I737" s="25" t="str">
        <f>IFERROR(($D737/50-_xlfn.XLOOKUP($E737,$O$35:$O$43,$T$35:$T$43)*F737)/$P$9,"")</f>
        <v/>
      </c>
      <c r="J737" s="25" t="str">
        <f>IFERROR(_xlfn.XLOOKUP($E737,$O$35:$O$43,$T$35:$T$43)*G737/$P$9,"")</f>
        <v/>
      </c>
      <c r="K737" s="25" t="str">
        <f>IF(E737=$O$43,($D737/50-$T$43*$P$9)/$P$9,"")</f>
        <v/>
      </c>
      <c r="L737" s="25" t="str">
        <f>IFERROR(($D737/50-_xlfn.XLOOKUP($H737,$O$48:$O$62,$T$48:$T$62)*$P$14)/$P$9,"")</f>
        <v/>
      </c>
      <c r="M737" s="14">
        <f t="shared" si="11"/>
        <v>0</v>
      </c>
    </row>
    <row r="738" spans="2:13" x14ac:dyDescent="0.25">
      <c r="B738" s="10" t="str">
        <f>IF('Importér data'!C749="type",'Importér data'!F749,"")</f>
        <v/>
      </c>
      <c r="C738" s="10">
        <f>'Importér data'!H749</f>
        <v>0</v>
      </c>
      <c r="D738" s="32" t="str">
        <f>IF('Importér data'!C749="type",'Importér data'!N749,"")</f>
        <v/>
      </c>
      <c r="E738" s="24"/>
      <c r="F738" s="45"/>
      <c r="G738" s="45"/>
      <c r="H738" s="24"/>
      <c r="I738" s="25" t="str">
        <f>IFERROR(($D738/50-_xlfn.XLOOKUP($E738,$O$35:$O$43,$T$35:$T$43)*F738)/$P$9,"")</f>
        <v/>
      </c>
      <c r="J738" s="25" t="str">
        <f>IFERROR(_xlfn.XLOOKUP($E738,$O$35:$O$43,$T$35:$T$43)*G738/$P$9,"")</f>
        <v/>
      </c>
      <c r="K738" s="25" t="str">
        <f>IF(E738=$O$43,($D738/50-$T$43*$P$9)/$P$9,"")</f>
        <v/>
      </c>
      <c r="L738" s="25" t="str">
        <f>IFERROR(($D738/50-_xlfn.XLOOKUP($H738,$O$48:$O$62,$T$48:$T$62)*$P$14)/$P$9,"")</f>
        <v/>
      </c>
      <c r="M738" s="14">
        <f t="shared" si="11"/>
        <v>0</v>
      </c>
    </row>
    <row r="739" spans="2:13" x14ac:dyDescent="0.25">
      <c r="B739" s="10" t="str">
        <f>IF('Importér data'!C750="type",'Importér data'!F750,"")</f>
        <v/>
      </c>
      <c r="C739" s="10">
        <f>'Importér data'!H750</f>
        <v>0</v>
      </c>
      <c r="D739" s="32" t="str">
        <f>IF('Importér data'!C750="type",'Importér data'!N750,"")</f>
        <v/>
      </c>
      <c r="E739" s="24"/>
      <c r="F739" s="45"/>
      <c r="G739" s="45"/>
      <c r="H739" s="24"/>
      <c r="I739" s="25" t="str">
        <f>IFERROR(($D739/50-_xlfn.XLOOKUP($E739,$O$35:$O$43,$T$35:$T$43)*F739)/$P$9,"")</f>
        <v/>
      </c>
      <c r="J739" s="25" t="str">
        <f>IFERROR(_xlfn.XLOOKUP($E739,$O$35:$O$43,$T$35:$T$43)*G739/$P$9,"")</f>
        <v/>
      </c>
      <c r="K739" s="25" t="str">
        <f>IF(E739=$O$43,($D739/50-$T$43*$P$9)/$P$9,"")</f>
        <v/>
      </c>
      <c r="L739" s="25" t="str">
        <f>IFERROR(($D739/50-_xlfn.XLOOKUP($H739,$O$48:$O$62,$T$48:$T$62)*$P$14)/$P$9,"")</f>
        <v/>
      </c>
      <c r="M739" s="14">
        <f t="shared" si="11"/>
        <v>0</v>
      </c>
    </row>
    <row r="740" spans="2:13" x14ac:dyDescent="0.25">
      <c r="B740" s="10" t="str">
        <f>IF('Importér data'!C751="type",'Importér data'!F751,"")</f>
        <v/>
      </c>
      <c r="C740" s="10">
        <f>'Importér data'!H751</f>
        <v>0</v>
      </c>
      <c r="D740" s="32" t="str">
        <f>IF('Importér data'!C751="type",'Importér data'!N751,"")</f>
        <v/>
      </c>
      <c r="E740" s="24"/>
      <c r="F740" s="45"/>
      <c r="G740" s="45"/>
      <c r="H740" s="24"/>
      <c r="I740" s="25" t="str">
        <f>IFERROR(($D740/50-_xlfn.XLOOKUP($E740,$O$35:$O$43,$T$35:$T$43)*F740)/$P$9,"")</f>
        <v/>
      </c>
      <c r="J740" s="25" t="str">
        <f>IFERROR(_xlfn.XLOOKUP($E740,$O$35:$O$43,$T$35:$T$43)*G740/$P$9,"")</f>
        <v/>
      </c>
      <c r="K740" s="25" t="str">
        <f>IF(E740=$O$43,($D740/50-$T$43*$P$9)/$P$9,"")</f>
        <v/>
      </c>
      <c r="L740" s="25" t="str">
        <f>IFERROR(($D740/50-_xlfn.XLOOKUP($H740,$O$48:$O$62,$T$48:$T$62)*$P$14)/$P$9,"")</f>
        <v/>
      </c>
      <c r="M740" s="14">
        <f t="shared" si="11"/>
        <v>0</v>
      </c>
    </row>
    <row r="741" spans="2:13" x14ac:dyDescent="0.25">
      <c r="B741" s="10" t="str">
        <f>IF('Importér data'!C752="type",'Importér data'!F752,"")</f>
        <v/>
      </c>
      <c r="C741" s="10">
        <f>'Importér data'!H752</f>
        <v>0</v>
      </c>
      <c r="D741" s="32" t="str">
        <f>IF('Importér data'!C752="type",'Importér data'!N752,"")</f>
        <v/>
      </c>
      <c r="E741" s="24"/>
      <c r="F741" s="45"/>
      <c r="G741" s="45"/>
      <c r="H741" s="24"/>
      <c r="I741" s="25" t="str">
        <f>IFERROR(($D741/50-_xlfn.XLOOKUP($E741,$O$35:$O$43,$T$35:$T$43)*F741)/$P$9,"")</f>
        <v/>
      </c>
      <c r="J741" s="25" t="str">
        <f>IFERROR(_xlfn.XLOOKUP($E741,$O$35:$O$43,$T$35:$T$43)*G741/$P$9,"")</f>
        <v/>
      </c>
      <c r="K741" s="25" t="str">
        <f>IF(E741=$O$43,($D741/50-$T$43*$P$9)/$P$9,"")</f>
        <v/>
      </c>
      <c r="L741" s="25" t="str">
        <f>IFERROR(($D741/50-_xlfn.XLOOKUP($H741,$O$48:$O$62,$T$48:$T$62)*$P$14)/$P$9,"")</f>
        <v/>
      </c>
      <c r="M741" s="14">
        <f t="shared" si="11"/>
        <v>0</v>
      </c>
    </row>
    <row r="742" spans="2:13" x14ac:dyDescent="0.25">
      <c r="B742" s="10" t="str">
        <f>IF('Importér data'!C753="type",'Importér data'!F753,"")</f>
        <v/>
      </c>
      <c r="C742" s="10">
        <f>'Importér data'!H753</f>
        <v>0</v>
      </c>
      <c r="D742" s="32" t="str">
        <f>IF('Importér data'!C753="type",'Importér data'!N753,"")</f>
        <v/>
      </c>
      <c r="E742" s="24"/>
      <c r="F742" s="45"/>
      <c r="G742" s="45"/>
      <c r="H742" s="24"/>
      <c r="I742" s="25" t="str">
        <f>IFERROR(($D742/50-_xlfn.XLOOKUP($E742,$O$35:$O$43,$T$35:$T$43)*F742)/$P$9,"")</f>
        <v/>
      </c>
      <c r="J742" s="25" t="str">
        <f>IFERROR(_xlfn.XLOOKUP($E742,$O$35:$O$43,$T$35:$T$43)*G742/$P$9,"")</f>
        <v/>
      </c>
      <c r="K742" s="25" t="str">
        <f>IF(E742=$O$43,($D742/50-$T$43*$P$9)/$P$9,"")</f>
        <v/>
      </c>
      <c r="L742" s="25" t="str">
        <f>IFERROR(($D742/50-_xlfn.XLOOKUP($H742,$O$48:$O$62,$T$48:$T$62)*$P$14)/$P$9,"")</f>
        <v/>
      </c>
      <c r="M742" s="14">
        <f t="shared" si="11"/>
        <v>0</v>
      </c>
    </row>
    <row r="743" spans="2:13" x14ac:dyDescent="0.25">
      <c r="B743" s="10" t="str">
        <f>IF('Importér data'!C754="type",'Importér data'!F754,"")</f>
        <v/>
      </c>
      <c r="C743" s="10">
        <f>'Importér data'!H754</f>
        <v>0</v>
      </c>
      <c r="D743" s="32" t="str">
        <f>IF('Importér data'!C754="type",'Importér data'!N754,"")</f>
        <v/>
      </c>
      <c r="E743" s="24"/>
      <c r="F743" s="45"/>
      <c r="G743" s="45"/>
      <c r="H743" s="24"/>
      <c r="I743" s="25" t="str">
        <f>IFERROR(($D743/50-_xlfn.XLOOKUP($E743,$O$35:$O$43,$T$35:$T$43)*F743)/$P$9,"")</f>
        <v/>
      </c>
      <c r="J743" s="25" t="str">
        <f>IFERROR(_xlfn.XLOOKUP($E743,$O$35:$O$43,$T$35:$T$43)*G743/$P$9,"")</f>
        <v/>
      </c>
      <c r="K743" s="25" t="str">
        <f>IF(E743=$O$43,($D743/50-$T$43*$P$9)/$P$9,"")</f>
        <v/>
      </c>
      <c r="L743" s="25" t="str">
        <f>IFERROR(($D743/50-_xlfn.XLOOKUP($H743,$O$48:$O$62,$T$48:$T$62)*$P$14)/$P$9,"")</f>
        <v/>
      </c>
      <c r="M743" s="14">
        <f t="shared" si="11"/>
        <v>0</v>
      </c>
    </row>
    <row r="744" spans="2:13" x14ac:dyDescent="0.25">
      <c r="B744" s="10" t="str">
        <f>IF('Importér data'!C755="type",'Importér data'!F755,"")</f>
        <v/>
      </c>
      <c r="C744" s="10">
        <f>'Importér data'!H755</f>
        <v>0</v>
      </c>
      <c r="D744" s="32" t="str">
        <f>IF('Importér data'!C755="type",'Importér data'!N755,"")</f>
        <v/>
      </c>
      <c r="E744" s="24"/>
      <c r="F744" s="45"/>
      <c r="G744" s="45"/>
      <c r="H744" s="24"/>
      <c r="I744" s="25" t="str">
        <f>IFERROR(($D744/50-_xlfn.XLOOKUP($E744,$O$35:$O$43,$T$35:$T$43)*F744)/$P$9,"")</f>
        <v/>
      </c>
      <c r="J744" s="25" t="str">
        <f>IFERROR(_xlfn.XLOOKUP($E744,$O$35:$O$43,$T$35:$T$43)*G744/$P$9,"")</f>
        <v/>
      </c>
      <c r="K744" s="25" t="str">
        <f>IF(E744=$O$43,($D744/50-$T$43*$P$9)/$P$9,"")</f>
        <v/>
      </c>
      <c r="L744" s="25" t="str">
        <f>IFERROR(($D744/50-_xlfn.XLOOKUP($H744,$O$48:$O$62,$T$48:$T$62)*$P$14)/$P$9,"")</f>
        <v/>
      </c>
      <c r="M744" s="14">
        <f t="shared" si="11"/>
        <v>0</v>
      </c>
    </row>
    <row r="745" spans="2:13" x14ac:dyDescent="0.25">
      <c r="B745" s="10" t="str">
        <f>IF('Importér data'!C756="type",'Importér data'!F756,"")</f>
        <v/>
      </c>
      <c r="C745" s="10">
        <f>'Importér data'!H756</f>
        <v>0</v>
      </c>
      <c r="D745" s="32" t="str">
        <f>IF('Importér data'!C756="type",'Importér data'!N756,"")</f>
        <v/>
      </c>
      <c r="E745" s="24"/>
      <c r="F745" s="45"/>
      <c r="G745" s="45"/>
      <c r="H745" s="24"/>
      <c r="I745" s="25" t="str">
        <f>IFERROR(($D745/50-_xlfn.XLOOKUP($E745,$O$35:$O$43,$T$35:$T$43)*F745)/$P$9,"")</f>
        <v/>
      </c>
      <c r="J745" s="25" t="str">
        <f>IFERROR(_xlfn.XLOOKUP($E745,$O$35:$O$43,$T$35:$T$43)*G745/$P$9,"")</f>
        <v/>
      </c>
      <c r="K745" s="25" t="str">
        <f>IF(E745=$O$43,($D745/50-$T$43*$P$9)/$P$9,"")</f>
        <v/>
      </c>
      <c r="L745" s="25" t="str">
        <f>IFERROR(($D745/50-_xlfn.XLOOKUP($H745,$O$48:$O$62,$T$48:$T$62)*$P$14)/$P$9,"")</f>
        <v/>
      </c>
      <c r="M745" s="14">
        <f t="shared" si="11"/>
        <v>0</v>
      </c>
    </row>
    <row r="746" spans="2:13" x14ac:dyDescent="0.25">
      <c r="B746" s="10" t="str">
        <f>IF('Importér data'!C757="type",'Importér data'!F757,"")</f>
        <v/>
      </c>
      <c r="C746" s="10">
        <f>'Importér data'!H757</f>
        <v>0</v>
      </c>
      <c r="D746" s="32" t="str">
        <f>IF('Importér data'!C757="type",'Importér data'!N757,"")</f>
        <v/>
      </c>
      <c r="E746" s="24"/>
      <c r="F746" s="45"/>
      <c r="G746" s="45"/>
      <c r="H746" s="24"/>
      <c r="I746" s="25" t="str">
        <f>IFERROR(($D746/50-_xlfn.XLOOKUP($E746,$O$35:$O$43,$T$35:$T$43)*F746)/$P$9,"")</f>
        <v/>
      </c>
      <c r="J746" s="25" t="str">
        <f>IFERROR(_xlfn.XLOOKUP($E746,$O$35:$O$43,$T$35:$T$43)*G746/$P$9,"")</f>
        <v/>
      </c>
      <c r="K746" s="25" t="str">
        <f>IF(E746=$O$43,($D746/50-$T$43*$P$9)/$P$9,"")</f>
        <v/>
      </c>
      <c r="L746" s="25" t="str">
        <f>IFERROR(($D746/50-_xlfn.XLOOKUP($H746,$O$48:$O$62,$T$48:$T$62)*$P$14)/$P$9,"")</f>
        <v/>
      </c>
      <c r="M746" s="14">
        <f t="shared" si="11"/>
        <v>0</v>
      </c>
    </row>
    <row r="747" spans="2:13" x14ac:dyDescent="0.25">
      <c r="B747" s="10" t="str">
        <f>IF('Importér data'!C758="type",'Importér data'!F758,"")</f>
        <v/>
      </c>
      <c r="C747" s="10">
        <f>'Importér data'!H758</f>
        <v>0</v>
      </c>
      <c r="D747" s="32" t="str">
        <f>IF('Importér data'!C758="type",'Importér data'!N758,"")</f>
        <v/>
      </c>
      <c r="E747" s="24"/>
      <c r="F747" s="45"/>
      <c r="G747" s="45"/>
      <c r="H747" s="24"/>
      <c r="I747" s="25" t="str">
        <f>IFERROR(($D747/50-_xlfn.XLOOKUP($E747,$O$35:$O$43,$T$35:$T$43)*F747)/$P$9,"")</f>
        <v/>
      </c>
      <c r="J747" s="25" t="str">
        <f>IFERROR(_xlfn.XLOOKUP($E747,$O$35:$O$43,$T$35:$T$43)*G747/$P$9,"")</f>
        <v/>
      </c>
      <c r="K747" s="25" t="str">
        <f>IF(E747=$O$43,($D747/50-$T$43*$P$9)/$P$9,"")</f>
        <v/>
      </c>
      <c r="L747" s="25" t="str">
        <f>IFERROR(($D747/50-_xlfn.XLOOKUP($H747,$O$48:$O$62,$T$48:$T$62)*$P$14)/$P$9,"")</f>
        <v/>
      </c>
      <c r="M747" s="14">
        <f t="shared" si="11"/>
        <v>0</v>
      </c>
    </row>
    <row r="748" spans="2:13" x14ac:dyDescent="0.25">
      <c r="B748" s="10" t="str">
        <f>IF('Importér data'!C759="type",'Importér data'!F759,"")</f>
        <v/>
      </c>
      <c r="C748" s="10">
        <f>'Importér data'!H759</f>
        <v>0</v>
      </c>
      <c r="D748" s="32" t="str">
        <f>IF('Importér data'!C759="type",'Importér data'!N759,"")</f>
        <v/>
      </c>
      <c r="E748" s="24"/>
      <c r="F748" s="45"/>
      <c r="G748" s="45"/>
      <c r="H748" s="24"/>
      <c r="I748" s="25" t="str">
        <f>IFERROR(($D748/50-_xlfn.XLOOKUP($E748,$O$35:$O$43,$T$35:$T$43)*F748)/$P$9,"")</f>
        <v/>
      </c>
      <c r="J748" s="25" t="str">
        <f>IFERROR(_xlfn.XLOOKUP($E748,$O$35:$O$43,$T$35:$T$43)*G748/$P$9,"")</f>
        <v/>
      </c>
      <c r="K748" s="25" t="str">
        <f>IF(E748=$O$43,($D748/50-$T$43*$P$9)/$P$9,"")</f>
        <v/>
      </c>
      <c r="L748" s="25" t="str">
        <f>IFERROR(($D748/50-_xlfn.XLOOKUP($H748,$O$48:$O$62,$T$48:$T$62)*$P$14)/$P$9,"")</f>
        <v/>
      </c>
      <c r="M748" s="14">
        <f t="shared" si="11"/>
        <v>0</v>
      </c>
    </row>
    <row r="749" spans="2:13" x14ac:dyDescent="0.25">
      <c r="B749" s="10" t="str">
        <f>IF('Importér data'!C760="type",'Importér data'!F760,"")</f>
        <v/>
      </c>
      <c r="C749" s="10">
        <f>'Importér data'!H760</f>
        <v>0</v>
      </c>
      <c r="D749" s="32" t="str">
        <f>IF('Importér data'!C760="type",'Importér data'!N760,"")</f>
        <v/>
      </c>
      <c r="E749" s="24"/>
      <c r="F749" s="45"/>
      <c r="G749" s="45"/>
      <c r="H749" s="24"/>
      <c r="I749" s="25" t="str">
        <f>IFERROR(($D749/50-_xlfn.XLOOKUP($E749,$O$35:$O$43,$T$35:$T$43)*F749)/$P$9,"")</f>
        <v/>
      </c>
      <c r="J749" s="25" t="str">
        <f>IFERROR(_xlfn.XLOOKUP($E749,$O$35:$O$43,$T$35:$T$43)*G749/$P$9,"")</f>
        <v/>
      </c>
      <c r="K749" s="25" t="str">
        <f>IF(E749=$O$43,($D749/50-$T$43*$P$9)/$P$9,"")</f>
        <v/>
      </c>
      <c r="L749" s="25" t="str">
        <f>IFERROR(($D749/50-_xlfn.XLOOKUP($H749,$O$48:$O$62,$T$48:$T$62)*$P$14)/$P$9,"")</f>
        <v/>
      </c>
      <c r="M749" s="14">
        <f t="shared" si="11"/>
        <v>0</v>
      </c>
    </row>
    <row r="750" spans="2:13" x14ac:dyDescent="0.25">
      <c r="B750" s="10" t="str">
        <f>IF('Importér data'!C761="type",'Importér data'!F761,"")</f>
        <v/>
      </c>
      <c r="C750" s="10">
        <f>'Importér data'!H761</f>
        <v>0</v>
      </c>
      <c r="D750" s="32" t="str">
        <f>IF('Importér data'!C761="type",'Importér data'!N761,"")</f>
        <v/>
      </c>
      <c r="E750" s="24"/>
      <c r="F750" s="45"/>
      <c r="G750" s="45"/>
      <c r="H750" s="24"/>
      <c r="I750" s="25" t="str">
        <f>IFERROR(($D750/50-_xlfn.XLOOKUP($E750,$O$35:$O$43,$T$35:$T$43)*F750)/$P$9,"")</f>
        <v/>
      </c>
      <c r="J750" s="25" t="str">
        <f>IFERROR(_xlfn.XLOOKUP($E750,$O$35:$O$43,$T$35:$T$43)*G750/$P$9,"")</f>
        <v/>
      </c>
      <c r="K750" s="25" t="str">
        <f>IF(E750=$O$43,($D750/50-$T$43*$P$9)/$P$9,"")</f>
        <v/>
      </c>
      <c r="L750" s="25" t="str">
        <f>IFERROR(($D750/50-_xlfn.XLOOKUP($H750,$O$48:$O$62,$T$48:$T$62)*$P$14)/$P$9,"")</f>
        <v/>
      </c>
      <c r="M750" s="14">
        <f t="shared" si="11"/>
        <v>0</v>
      </c>
    </row>
    <row r="751" spans="2:13" x14ac:dyDescent="0.25">
      <c r="B751" s="10" t="str">
        <f>IF('Importér data'!C762="type",'Importér data'!F762,"")</f>
        <v/>
      </c>
      <c r="C751" s="10">
        <f>'Importér data'!H762</f>
        <v>0</v>
      </c>
      <c r="D751" s="32" t="str">
        <f>IF('Importér data'!C762="type",'Importér data'!N762,"")</f>
        <v/>
      </c>
      <c r="E751" s="24"/>
      <c r="F751" s="45"/>
      <c r="G751" s="45"/>
      <c r="H751" s="24"/>
      <c r="I751" s="25" t="str">
        <f>IFERROR(($D751/50-_xlfn.XLOOKUP($E751,$O$35:$O$43,$T$35:$T$43)*F751)/$P$9,"")</f>
        <v/>
      </c>
      <c r="J751" s="25" t="str">
        <f>IFERROR(_xlfn.XLOOKUP($E751,$O$35:$O$43,$T$35:$T$43)*G751/$P$9,"")</f>
        <v/>
      </c>
      <c r="K751" s="25" t="str">
        <f>IF(E751=$O$43,($D751/50-$T$43*$P$9)/$P$9,"")</f>
        <v/>
      </c>
      <c r="L751" s="25" t="str">
        <f>IFERROR(($D751/50-_xlfn.XLOOKUP($H751,$O$48:$O$62,$T$48:$T$62)*$P$14)/$P$9,"")</f>
        <v/>
      </c>
      <c r="M751" s="14">
        <f t="shared" si="11"/>
        <v>0</v>
      </c>
    </row>
    <row r="752" spans="2:13" x14ac:dyDescent="0.25">
      <c r="B752" s="10" t="str">
        <f>IF('Importér data'!C763="type",'Importér data'!F763,"")</f>
        <v/>
      </c>
      <c r="C752" s="10">
        <f>'Importér data'!H763</f>
        <v>0</v>
      </c>
      <c r="D752" s="32" t="str">
        <f>IF('Importér data'!C763="type",'Importér data'!N763,"")</f>
        <v/>
      </c>
      <c r="E752" s="24"/>
      <c r="F752" s="45"/>
      <c r="G752" s="45"/>
      <c r="H752" s="24"/>
      <c r="I752" s="25" t="str">
        <f>IFERROR(($D752/50-_xlfn.XLOOKUP($E752,$O$35:$O$43,$T$35:$T$43)*F752)/$P$9,"")</f>
        <v/>
      </c>
      <c r="J752" s="25" t="str">
        <f>IFERROR(_xlfn.XLOOKUP($E752,$O$35:$O$43,$T$35:$T$43)*G752/$P$9,"")</f>
        <v/>
      </c>
      <c r="K752" s="25" t="str">
        <f>IF(E752=$O$43,($D752/50-$T$43*$P$9)/$P$9,"")</f>
        <v/>
      </c>
      <c r="L752" s="25" t="str">
        <f>IFERROR(($D752/50-_xlfn.XLOOKUP($H752,$O$48:$O$62,$T$48:$T$62)*$P$14)/$P$9,"")</f>
        <v/>
      </c>
      <c r="M752" s="14">
        <f t="shared" si="11"/>
        <v>0</v>
      </c>
    </row>
    <row r="753" spans="2:13" x14ac:dyDescent="0.25">
      <c r="B753" s="10" t="str">
        <f>IF('Importér data'!C764="type",'Importér data'!F764,"")</f>
        <v/>
      </c>
      <c r="C753" s="10">
        <f>'Importér data'!H764</f>
        <v>0</v>
      </c>
      <c r="D753" s="32" t="str">
        <f>IF('Importér data'!C764="type",'Importér data'!N764,"")</f>
        <v/>
      </c>
      <c r="E753" s="24"/>
      <c r="F753" s="45"/>
      <c r="G753" s="45"/>
      <c r="H753" s="24"/>
      <c r="I753" s="25" t="str">
        <f>IFERROR(($D753/50-_xlfn.XLOOKUP($E753,$O$35:$O$43,$T$35:$T$43)*F753)/$P$9,"")</f>
        <v/>
      </c>
      <c r="J753" s="25" t="str">
        <f>IFERROR(_xlfn.XLOOKUP($E753,$O$35:$O$43,$T$35:$T$43)*G753/$P$9,"")</f>
        <v/>
      </c>
      <c r="K753" s="25" t="str">
        <f>IF(E753=$O$43,($D753/50-$T$43*$P$9)/$P$9,"")</f>
        <v/>
      </c>
      <c r="L753" s="25" t="str">
        <f>IFERROR(($D753/50-_xlfn.XLOOKUP($H753,$O$48:$O$62,$T$48:$T$62)*$P$14)/$P$9,"")</f>
        <v/>
      </c>
      <c r="M753" s="14">
        <f t="shared" si="11"/>
        <v>0</v>
      </c>
    </row>
    <row r="754" spans="2:13" x14ac:dyDescent="0.25">
      <c r="B754" s="10" t="str">
        <f>IF('Importér data'!C765="type",'Importér data'!F765,"")</f>
        <v/>
      </c>
      <c r="C754" s="10">
        <f>'Importér data'!H765</f>
        <v>0</v>
      </c>
      <c r="D754" s="32" t="str">
        <f>IF('Importér data'!C765="type",'Importér data'!N765,"")</f>
        <v/>
      </c>
      <c r="E754" s="24"/>
      <c r="F754" s="45"/>
      <c r="G754" s="45"/>
      <c r="H754" s="24"/>
      <c r="I754" s="25" t="str">
        <f>IFERROR(($D754/50-_xlfn.XLOOKUP($E754,$O$35:$O$43,$T$35:$T$43)*F754)/$P$9,"")</f>
        <v/>
      </c>
      <c r="J754" s="25" t="str">
        <f>IFERROR(_xlfn.XLOOKUP($E754,$O$35:$O$43,$T$35:$T$43)*G754/$P$9,"")</f>
        <v/>
      </c>
      <c r="K754" s="25" t="str">
        <f>IF(E754=$O$43,($D754/50-$T$43*$P$9)/$P$9,"")</f>
        <v/>
      </c>
      <c r="L754" s="25" t="str">
        <f>IFERROR(($D754/50-_xlfn.XLOOKUP($H754,$O$48:$O$62,$T$48:$T$62)*$P$14)/$P$9,"")</f>
        <v/>
      </c>
      <c r="M754" s="14">
        <f t="shared" si="11"/>
        <v>0</v>
      </c>
    </row>
    <row r="755" spans="2:13" x14ac:dyDescent="0.25">
      <c r="B755" s="10" t="str">
        <f>IF('Importér data'!C766="type",'Importér data'!F766,"")</f>
        <v/>
      </c>
      <c r="C755" s="10">
        <f>'Importér data'!H766</f>
        <v>0</v>
      </c>
      <c r="D755" s="32" t="str">
        <f>IF('Importér data'!C766="type",'Importér data'!N766,"")</f>
        <v/>
      </c>
      <c r="E755" s="24"/>
      <c r="F755" s="45"/>
      <c r="G755" s="45"/>
      <c r="H755" s="24"/>
      <c r="I755" s="25" t="str">
        <f>IFERROR(($D755/50-_xlfn.XLOOKUP($E755,$O$35:$O$43,$T$35:$T$43)*F755)/$P$9,"")</f>
        <v/>
      </c>
      <c r="J755" s="25" t="str">
        <f>IFERROR(_xlfn.XLOOKUP($E755,$O$35:$O$43,$T$35:$T$43)*G755/$P$9,"")</f>
        <v/>
      </c>
      <c r="K755" s="25" t="str">
        <f>IF(E755=$O$43,($D755/50-$T$43*$P$9)/$P$9,"")</f>
        <v/>
      </c>
      <c r="L755" s="25" t="str">
        <f>IFERROR(($D755/50-_xlfn.XLOOKUP($H755,$O$48:$O$62,$T$48:$T$62)*$P$14)/$P$9,"")</f>
        <v/>
      </c>
      <c r="M755" s="14">
        <f t="shared" si="11"/>
        <v>0</v>
      </c>
    </row>
    <row r="756" spans="2:13" x14ac:dyDescent="0.25">
      <c r="B756" s="10" t="str">
        <f>IF('Importér data'!C767="type",'Importér data'!F767,"")</f>
        <v/>
      </c>
      <c r="C756" s="10">
        <f>'Importér data'!H767</f>
        <v>0</v>
      </c>
      <c r="D756" s="32" t="str">
        <f>IF('Importér data'!C767="type",'Importér data'!N767,"")</f>
        <v/>
      </c>
      <c r="E756" s="24"/>
      <c r="F756" s="45"/>
      <c r="G756" s="45"/>
      <c r="H756" s="24"/>
      <c r="I756" s="25" t="str">
        <f>IFERROR(($D756/50-_xlfn.XLOOKUP($E756,$O$35:$O$43,$T$35:$T$43)*F756)/$P$9,"")</f>
        <v/>
      </c>
      <c r="J756" s="25" t="str">
        <f>IFERROR(_xlfn.XLOOKUP($E756,$O$35:$O$43,$T$35:$T$43)*G756/$P$9,"")</f>
        <v/>
      </c>
      <c r="K756" s="25" t="str">
        <f>IF(E756=$O$43,($D756/50-$T$43*$P$9)/$P$9,"")</f>
        <v/>
      </c>
      <c r="L756" s="25" t="str">
        <f>IFERROR(($D756/50-_xlfn.XLOOKUP($H756,$O$48:$O$62,$T$48:$T$62)*$P$14)/$P$9,"")</f>
        <v/>
      </c>
      <c r="M756" s="14">
        <f t="shared" si="11"/>
        <v>0</v>
      </c>
    </row>
    <row r="757" spans="2:13" x14ac:dyDescent="0.25">
      <c r="B757" s="10" t="str">
        <f>IF('Importér data'!C768="type",'Importér data'!F768,"")</f>
        <v/>
      </c>
      <c r="C757" s="10">
        <f>'Importér data'!H768</f>
        <v>0</v>
      </c>
      <c r="D757" s="32" t="str">
        <f>IF('Importér data'!C768="type",'Importér data'!N768,"")</f>
        <v/>
      </c>
      <c r="E757" s="24"/>
      <c r="F757" s="45"/>
      <c r="G757" s="45"/>
      <c r="H757" s="24"/>
      <c r="I757" s="25" t="str">
        <f>IFERROR(($D757/50-_xlfn.XLOOKUP($E757,$O$35:$O$43,$T$35:$T$43)*F757)/$P$9,"")</f>
        <v/>
      </c>
      <c r="J757" s="25" t="str">
        <f>IFERROR(_xlfn.XLOOKUP($E757,$O$35:$O$43,$T$35:$T$43)*G757/$P$9,"")</f>
        <v/>
      </c>
      <c r="K757" s="25" t="str">
        <f>IF(E757=$O$43,($D757/50-$T$43*$P$9)/$P$9,"")</f>
        <v/>
      </c>
      <c r="L757" s="25" t="str">
        <f>IFERROR(($D757/50-_xlfn.XLOOKUP($H757,$O$48:$O$62,$T$48:$T$62)*$P$14)/$P$9,"")</f>
        <v/>
      </c>
      <c r="M757" s="14">
        <f t="shared" si="11"/>
        <v>0</v>
      </c>
    </row>
    <row r="758" spans="2:13" x14ac:dyDescent="0.25">
      <c r="B758" s="10" t="str">
        <f>IF('Importér data'!C769="type",'Importér data'!F769,"")</f>
        <v/>
      </c>
      <c r="C758" s="10">
        <f>'Importér data'!H769</f>
        <v>0</v>
      </c>
      <c r="D758" s="32" t="str">
        <f>IF('Importér data'!C769="type",'Importér data'!N769,"")</f>
        <v/>
      </c>
      <c r="E758" s="24"/>
      <c r="F758" s="45"/>
      <c r="G758" s="45"/>
      <c r="H758" s="24"/>
      <c r="I758" s="25" t="str">
        <f>IFERROR(($D758/50-_xlfn.XLOOKUP($E758,$O$35:$O$43,$T$35:$T$43)*F758)/$P$9,"")</f>
        <v/>
      </c>
      <c r="J758" s="25" t="str">
        <f>IFERROR(_xlfn.XLOOKUP($E758,$O$35:$O$43,$T$35:$T$43)*G758/$P$9,"")</f>
        <v/>
      </c>
      <c r="K758" s="25" t="str">
        <f>IF(E758=$O$43,($D758/50-$T$43*$P$9)/$P$9,"")</f>
        <v/>
      </c>
      <c r="L758" s="25" t="str">
        <f>IFERROR(($D758/50-_xlfn.XLOOKUP($H758,$O$48:$O$62,$T$48:$T$62)*$P$14)/$P$9,"")</f>
        <v/>
      </c>
      <c r="M758" s="14">
        <f t="shared" si="11"/>
        <v>0</v>
      </c>
    </row>
    <row r="759" spans="2:13" x14ac:dyDescent="0.25">
      <c r="B759" s="10" t="str">
        <f>IF('Importér data'!C770="type",'Importér data'!F770,"")</f>
        <v/>
      </c>
      <c r="C759" s="10">
        <f>'Importér data'!H770</f>
        <v>0</v>
      </c>
      <c r="D759" s="32" t="str">
        <f>IF('Importér data'!C770="type",'Importér data'!N770,"")</f>
        <v/>
      </c>
      <c r="E759" s="24"/>
      <c r="F759" s="45"/>
      <c r="G759" s="45"/>
      <c r="H759" s="24"/>
      <c r="I759" s="25" t="str">
        <f>IFERROR(($D759/50-_xlfn.XLOOKUP($E759,$O$35:$O$43,$T$35:$T$43)*F759)/$P$9,"")</f>
        <v/>
      </c>
      <c r="J759" s="25" t="str">
        <f>IFERROR(_xlfn.XLOOKUP($E759,$O$35:$O$43,$T$35:$T$43)*G759/$P$9,"")</f>
        <v/>
      </c>
      <c r="K759" s="25" t="str">
        <f>IF(E759=$O$43,($D759/50-$T$43*$P$9)/$P$9,"")</f>
        <v/>
      </c>
      <c r="L759" s="25" t="str">
        <f>IFERROR(($D759/50-_xlfn.XLOOKUP($H759,$O$48:$O$62,$T$48:$T$62)*$P$14)/$P$9,"")</f>
        <v/>
      </c>
      <c r="M759" s="14">
        <f t="shared" si="11"/>
        <v>0</v>
      </c>
    </row>
    <row r="760" spans="2:13" x14ac:dyDescent="0.25">
      <c r="B760" s="10" t="str">
        <f>IF('Importér data'!C771="type",'Importér data'!F771,"")</f>
        <v/>
      </c>
      <c r="C760" s="10">
        <f>'Importér data'!H771</f>
        <v>0</v>
      </c>
      <c r="D760" s="32" t="str">
        <f>IF('Importér data'!C771="type",'Importér data'!N771,"")</f>
        <v/>
      </c>
      <c r="E760" s="24"/>
      <c r="F760" s="45"/>
      <c r="G760" s="45"/>
      <c r="H760" s="24"/>
      <c r="I760" s="25" t="str">
        <f>IFERROR(($D760/50-_xlfn.XLOOKUP($E760,$O$35:$O$43,$T$35:$T$43)*F760)/$P$9,"")</f>
        <v/>
      </c>
      <c r="J760" s="25" t="str">
        <f>IFERROR(_xlfn.XLOOKUP($E760,$O$35:$O$43,$T$35:$T$43)*G760/$P$9,"")</f>
        <v/>
      </c>
      <c r="K760" s="25" t="str">
        <f>IF(E760=$O$43,($D760/50-$T$43*$P$9)/$P$9,"")</f>
        <v/>
      </c>
      <c r="L760" s="25" t="str">
        <f>IFERROR(($D760/50-_xlfn.XLOOKUP($H760,$O$48:$O$62,$T$48:$T$62)*$P$14)/$P$9,"")</f>
        <v/>
      </c>
      <c r="M760" s="14">
        <f t="shared" si="11"/>
        <v>0</v>
      </c>
    </row>
    <row r="761" spans="2:13" x14ac:dyDescent="0.25">
      <c r="B761" s="10" t="str">
        <f>IF('Importér data'!C772="type",'Importér data'!F772,"")</f>
        <v/>
      </c>
      <c r="C761" s="10">
        <f>'Importér data'!H772</f>
        <v>0</v>
      </c>
      <c r="D761" s="32" t="str">
        <f>IF('Importér data'!C772="type",'Importér data'!N772,"")</f>
        <v/>
      </c>
      <c r="E761" s="24"/>
      <c r="F761" s="45"/>
      <c r="G761" s="45"/>
      <c r="H761" s="24"/>
      <c r="I761" s="25" t="str">
        <f>IFERROR(($D761/50-_xlfn.XLOOKUP($E761,$O$35:$O$43,$T$35:$T$43)*F761)/$P$9,"")</f>
        <v/>
      </c>
      <c r="J761" s="25" t="str">
        <f>IFERROR(_xlfn.XLOOKUP($E761,$O$35:$O$43,$T$35:$T$43)*G761/$P$9,"")</f>
        <v/>
      </c>
      <c r="K761" s="25" t="str">
        <f>IF(E761=$O$43,($D761/50-$T$43*$P$9)/$P$9,"")</f>
        <v/>
      </c>
      <c r="L761" s="25" t="str">
        <f>IFERROR(($D761/50-_xlfn.XLOOKUP($H761,$O$48:$O$62,$T$48:$T$62)*$P$14)/$P$9,"")</f>
        <v/>
      </c>
      <c r="M761" s="14">
        <f t="shared" si="11"/>
        <v>0</v>
      </c>
    </row>
    <row r="762" spans="2:13" x14ac:dyDescent="0.25">
      <c r="B762" s="10" t="str">
        <f>IF('Importér data'!C773="type",'Importér data'!F773,"")</f>
        <v/>
      </c>
      <c r="C762" s="10">
        <f>'Importér data'!H773</f>
        <v>0</v>
      </c>
      <c r="D762" s="32" t="str">
        <f>IF('Importér data'!C773="type",'Importér data'!N773,"")</f>
        <v/>
      </c>
      <c r="E762" s="24"/>
      <c r="F762" s="45"/>
      <c r="G762" s="45"/>
      <c r="H762" s="24"/>
      <c r="I762" s="25" t="str">
        <f>IFERROR(($D762/50-_xlfn.XLOOKUP($E762,$O$35:$O$43,$T$35:$T$43)*F762)/$P$9,"")</f>
        <v/>
      </c>
      <c r="J762" s="25" t="str">
        <f>IFERROR(_xlfn.XLOOKUP($E762,$O$35:$O$43,$T$35:$T$43)*G762/$P$9,"")</f>
        <v/>
      </c>
      <c r="K762" s="25" t="str">
        <f>IF(E762=$O$43,($D762/50-$T$43*$P$9)/$P$9,"")</f>
        <v/>
      </c>
      <c r="L762" s="25" t="str">
        <f>IFERROR(($D762/50-_xlfn.XLOOKUP($H762,$O$48:$O$62,$T$48:$T$62)*$P$14)/$P$9,"")</f>
        <v/>
      </c>
      <c r="M762" s="14">
        <f t="shared" si="11"/>
        <v>0</v>
      </c>
    </row>
    <row r="763" spans="2:13" x14ac:dyDescent="0.25">
      <c r="B763" s="10" t="str">
        <f>IF('Importér data'!C774="type",'Importér data'!F774,"")</f>
        <v/>
      </c>
      <c r="C763" s="10">
        <f>'Importér data'!H774</f>
        <v>0</v>
      </c>
      <c r="D763" s="32" t="str">
        <f>IF('Importér data'!C774="type",'Importér data'!N774,"")</f>
        <v/>
      </c>
      <c r="E763" s="24"/>
      <c r="F763" s="45"/>
      <c r="G763" s="45"/>
      <c r="H763" s="24"/>
      <c r="I763" s="25" t="str">
        <f>IFERROR(($D763/50-_xlfn.XLOOKUP($E763,$O$35:$O$43,$T$35:$T$43)*F763)/$P$9,"")</f>
        <v/>
      </c>
      <c r="J763" s="25" t="str">
        <f>IFERROR(_xlfn.XLOOKUP($E763,$O$35:$O$43,$T$35:$T$43)*G763/$P$9,"")</f>
        <v/>
      </c>
      <c r="K763" s="25" t="str">
        <f>IF(E763=$O$43,($D763/50-$T$43*$P$9)/$P$9,"")</f>
        <v/>
      </c>
      <c r="L763" s="25" t="str">
        <f>IFERROR(($D763/50-_xlfn.XLOOKUP($H763,$O$48:$O$62,$T$48:$T$62)*$P$14)/$P$9,"")</f>
        <v/>
      </c>
      <c r="M763" s="14">
        <f t="shared" si="11"/>
        <v>0</v>
      </c>
    </row>
    <row r="764" spans="2:13" x14ac:dyDescent="0.25">
      <c r="B764" s="10" t="str">
        <f>IF('Importér data'!C775="type",'Importér data'!F775,"")</f>
        <v/>
      </c>
      <c r="C764" s="10">
        <f>'Importér data'!H775</f>
        <v>0</v>
      </c>
      <c r="D764" s="32" t="str">
        <f>IF('Importér data'!C775="type",'Importér data'!N775,"")</f>
        <v/>
      </c>
      <c r="E764" s="24"/>
      <c r="F764" s="45"/>
      <c r="G764" s="45"/>
      <c r="H764" s="24"/>
      <c r="I764" s="25" t="str">
        <f>IFERROR(($D764/50-_xlfn.XLOOKUP($E764,$O$35:$O$43,$T$35:$T$43)*F764)/$P$9,"")</f>
        <v/>
      </c>
      <c r="J764" s="25" t="str">
        <f>IFERROR(_xlfn.XLOOKUP($E764,$O$35:$O$43,$T$35:$T$43)*G764/$P$9,"")</f>
        <v/>
      </c>
      <c r="K764" s="25" t="str">
        <f>IF(E764=$O$43,($D764/50-$T$43*$P$9)/$P$9,"")</f>
        <v/>
      </c>
      <c r="L764" s="25" t="str">
        <f>IFERROR(($D764/50-_xlfn.XLOOKUP($H764,$O$48:$O$62,$T$48:$T$62)*$P$14)/$P$9,"")</f>
        <v/>
      </c>
      <c r="M764" s="14">
        <f t="shared" si="11"/>
        <v>0</v>
      </c>
    </row>
    <row r="765" spans="2:13" x14ac:dyDescent="0.25">
      <c r="B765" s="10" t="str">
        <f>IF('Importér data'!C776="type",'Importér data'!F776,"")</f>
        <v/>
      </c>
      <c r="C765" s="10">
        <f>'Importér data'!H776</f>
        <v>0</v>
      </c>
      <c r="D765" s="32" t="str">
        <f>IF('Importér data'!C776="type",'Importér data'!N776,"")</f>
        <v/>
      </c>
      <c r="E765" s="24"/>
      <c r="F765" s="45"/>
      <c r="G765" s="45"/>
      <c r="H765" s="24"/>
      <c r="I765" s="25" t="str">
        <f>IFERROR(($D765/50-_xlfn.XLOOKUP($E765,$O$35:$O$43,$T$35:$T$43)*F765)/$P$9,"")</f>
        <v/>
      </c>
      <c r="J765" s="25" t="str">
        <f>IFERROR(_xlfn.XLOOKUP($E765,$O$35:$O$43,$T$35:$T$43)*G765/$P$9,"")</f>
        <v/>
      </c>
      <c r="K765" s="25" t="str">
        <f>IF(E765=$O$43,($D765/50-$T$43*$P$9)/$P$9,"")</f>
        <v/>
      </c>
      <c r="L765" s="25" t="str">
        <f>IFERROR(($D765/50-_xlfn.XLOOKUP($H765,$O$48:$O$62,$T$48:$T$62)*$P$14)/$P$9,"")</f>
        <v/>
      </c>
      <c r="M765" s="14">
        <f t="shared" si="11"/>
        <v>0</v>
      </c>
    </row>
    <row r="766" spans="2:13" x14ac:dyDescent="0.25">
      <c r="B766" s="10" t="str">
        <f>IF('Importér data'!C777="type",'Importér data'!F777,"")</f>
        <v/>
      </c>
      <c r="C766" s="10">
        <f>'Importér data'!H777</f>
        <v>0</v>
      </c>
      <c r="D766" s="32" t="str">
        <f>IF('Importér data'!C777="type",'Importér data'!N777,"")</f>
        <v/>
      </c>
      <c r="E766" s="24"/>
      <c r="F766" s="45"/>
      <c r="G766" s="45"/>
      <c r="H766" s="24"/>
      <c r="I766" s="25" t="str">
        <f>IFERROR(($D766/50-_xlfn.XLOOKUP($E766,$O$35:$O$43,$T$35:$T$43)*F766)/$P$9,"")</f>
        <v/>
      </c>
      <c r="J766" s="25" t="str">
        <f>IFERROR(_xlfn.XLOOKUP($E766,$O$35:$O$43,$T$35:$T$43)*G766/$P$9,"")</f>
        <v/>
      </c>
      <c r="K766" s="25" t="str">
        <f>IF(E766=$O$43,($D766/50-$T$43*$P$9)/$P$9,"")</f>
        <v/>
      </c>
      <c r="L766" s="25" t="str">
        <f>IFERROR(($D766/50-_xlfn.XLOOKUP($H766,$O$48:$O$62,$T$48:$T$62)*$P$14)/$P$9,"")</f>
        <v/>
      </c>
      <c r="M766" s="14">
        <f t="shared" si="11"/>
        <v>0</v>
      </c>
    </row>
    <row r="767" spans="2:13" x14ac:dyDescent="0.25">
      <c r="B767" s="10" t="str">
        <f>IF('Importér data'!C778="type",'Importér data'!F778,"")</f>
        <v/>
      </c>
      <c r="C767" s="10">
        <f>'Importér data'!H778</f>
        <v>0</v>
      </c>
      <c r="D767" s="32" t="str">
        <f>IF('Importér data'!C778="type",'Importér data'!N778,"")</f>
        <v/>
      </c>
      <c r="E767" s="24"/>
      <c r="F767" s="45"/>
      <c r="G767" s="45"/>
      <c r="H767" s="24"/>
      <c r="I767" s="25" t="str">
        <f>IFERROR(($D767/50-_xlfn.XLOOKUP($E767,$O$35:$O$43,$T$35:$T$43)*F767)/$P$9,"")</f>
        <v/>
      </c>
      <c r="J767" s="25" t="str">
        <f>IFERROR(_xlfn.XLOOKUP($E767,$O$35:$O$43,$T$35:$T$43)*G767/$P$9,"")</f>
        <v/>
      </c>
      <c r="K767" s="25" t="str">
        <f>IF(E767=$O$43,($D767/50-$T$43*$P$9)/$P$9,"")</f>
        <v/>
      </c>
      <c r="L767" s="25" t="str">
        <f>IFERROR(($D767/50-_xlfn.XLOOKUP($H767,$O$48:$O$62,$T$48:$T$62)*$P$14)/$P$9,"")</f>
        <v/>
      </c>
      <c r="M767" s="14">
        <f t="shared" si="11"/>
        <v>0</v>
      </c>
    </row>
    <row r="768" spans="2:13" x14ac:dyDescent="0.25">
      <c r="B768" s="10" t="str">
        <f>IF('Importér data'!C779="type",'Importér data'!F779,"")</f>
        <v/>
      </c>
      <c r="C768" s="10">
        <f>'Importér data'!H779</f>
        <v>0</v>
      </c>
      <c r="D768" s="32" t="str">
        <f>IF('Importér data'!C779="type",'Importér data'!N779,"")</f>
        <v/>
      </c>
      <c r="E768" s="24"/>
      <c r="F768" s="45"/>
      <c r="G768" s="45"/>
      <c r="H768" s="24"/>
      <c r="I768" s="25" t="str">
        <f>IFERROR(($D768/50-_xlfn.XLOOKUP($E768,$O$35:$O$43,$T$35:$T$43)*F768)/$P$9,"")</f>
        <v/>
      </c>
      <c r="J768" s="25" t="str">
        <f>IFERROR(_xlfn.XLOOKUP($E768,$O$35:$O$43,$T$35:$T$43)*G768/$P$9,"")</f>
        <v/>
      </c>
      <c r="K768" s="25" t="str">
        <f>IF(E768=$O$43,($D768/50-$T$43*$P$9)/$P$9,"")</f>
        <v/>
      </c>
      <c r="L768" s="25" t="str">
        <f>IFERROR(($D768/50-_xlfn.XLOOKUP($H768,$O$48:$O$62,$T$48:$T$62)*$P$14)/$P$9,"")</f>
        <v/>
      </c>
      <c r="M768" s="14">
        <f t="shared" si="11"/>
        <v>0</v>
      </c>
    </row>
    <row r="769" spans="2:13" x14ac:dyDescent="0.25">
      <c r="B769" s="10" t="str">
        <f>IF('Importér data'!C780="type",'Importér data'!F780,"")</f>
        <v/>
      </c>
      <c r="C769" s="10">
        <f>'Importér data'!H780</f>
        <v>0</v>
      </c>
      <c r="D769" s="32" t="str">
        <f>IF('Importér data'!C780="type",'Importér data'!N780,"")</f>
        <v/>
      </c>
      <c r="E769" s="24"/>
      <c r="F769" s="45"/>
      <c r="G769" s="45"/>
      <c r="H769" s="24"/>
      <c r="I769" s="25" t="str">
        <f>IFERROR(($D769/50-_xlfn.XLOOKUP($E769,$O$35:$O$43,$T$35:$T$43)*F769)/$P$9,"")</f>
        <v/>
      </c>
      <c r="J769" s="25" t="str">
        <f>IFERROR(_xlfn.XLOOKUP($E769,$O$35:$O$43,$T$35:$T$43)*G769/$P$9,"")</f>
        <v/>
      </c>
      <c r="K769" s="25" t="str">
        <f>IF(E769=$O$43,($D769/50-$T$43*$P$9)/$P$9,"")</f>
        <v/>
      </c>
      <c r="L769" s="25" t="str">
        <f>IFERROR(($D769/50-_xlfn.XLOOKUP($H769,$O$48:$O$62,$T$48:$T$62)*$P$14)/$P$9,"")</f>
        <v/>
      </c>
      <c r="M769" s="14">
        <f t="shared" si="11"/>
        <v>0</v>
      </c>
    </row>
    <row r="770" spans="2:13" x14ac:dyDescent="0.25">
      <c r="B770" s="10" t="str">
        <f>IF('Importér data'!C781="type",'Importér data'!F781,"")</f>
        <v/>
      </c>
      <c r="C770" s="10">
        <f>'Importér data'!H781</f>
        <v>0</v>
      </c>
      <c r="D770" s="32" t="str">
        <f>IF('Importér data'!C781="type",'Importér data'!N781,"")</f>
        <v/>
      </c>
      <c r="E770" s="24"/>
      <c r="F770" s="45"/>
      <c r="G770" s="45"/>
      <c r="H770" s="24"/>
      <c r="I770" s="25" t="str">
        <f>IFERROR(($D770/50-_xlfn.XLOOKUP($E770,$O$35:$O$43,$T$35:$T$43)*F770)/$P$9,"")</f>
        <v/>
      </c>
      <c r="J770" s="25" t="str">
        <f>IFERROR(_xlfn.XLOOKUP($E770,$O$35:$O$43,$T$35:$T$43)*G770/$P$9,"")</f>
        <v/>
      </c>
      <c r="K770" s="25" t="str">
        <f>IF(E770=$O$43,($D770/50-$T$43*$P$9)/$P$9,"")</f>
        <v/>
      </c>
      <c r="L770" s="25" t="str">
        <f>IFERROR(($D770/50-_xlfn.XLOOKUP($H770,$O$48:$O$62,$T$48:$T$62)*$P$14)/$P$9,"")</f>
        <v/>
      </c>
      <c r="M770" s="14">
        <f t="shared" si="11"/>
        <v>0</v>
      </c>
    </row>
    <row r="771" spans="2:13" x14ac:dyDescent="0.25">
      <c r="B771" s="10" t="str">
        <f>IF('Importér data'!C782="type",'Importér data'!F782,"")</f>
        <v/>
      </c>
      <c r="C771" s="10">
        <f>'Importér data'!H782</f>
        <v>0</v>
      </c>
      <c r="D771" s="32" t="str">
        <f>IF('Importér data'!C782="type",'Importér data'!N782,"")</f>
        <v/>
      </c>
      <c r="E771" s="24"/>
      <c r="F771" s="45"/>
      <c r="G771" s="45"/>
      <c r="H771" s="24"/>
      <c r="I771" s="25" t="str">
        <f>IFERROR(($D771/50-_xlfn.XLOOKUP($E771,$O$35:$O$43,$T$35:$T$43)*F771)/$P$9,"")</f>
        <v/>
      </c>
      <c r="J771" s="25" t="str">
        <f>IFERROR(_xlfn.XLOOKUP($E771,$O$35:$O$43,$T$35:$T$43)*G771/$P$9,"")</f>
        <v/>
      </c>
      <c r="K771" s="25" t="str">
        <f>IF(E771=$O$43,($D771/50-$T$43*$P$9)/$P$9,"")</f>
        <v/>
      </c>
      <c r="L771" s="25" t="str">
        <f>IFERROR(($D771/50-_xlfn.XLOOKUP($H771,$O$48:$O$62,$T$48:$T$62)*$P$14)/$P$9,"")</f>
        <v/>
      </c>
      <c r="M771" s="14">
        <f t="shared" si="11"/>
        <v>0</v>
      </c>
    </row>
    <row r="772" spans="2:13" x14ac:dyDescent="0.25">
      <c r="B772" s="10" t="str">
        <f>IF('Importér data'!C783="type",'Importér data'!F783,"")</f>
        <v/>
      </c>
      <c r="C772" s="10">
        <f>'Importér data'!H783</f>
        <v>0</v>
      </c>
      <c r="D772" s="32" t="str">
        <f>IF('Importér data'!C783="type",'Importér data'!N783,"")</f>
        <v/>
      </c>
      <c r="E772" s="24"/>
      <c r="F772" s="45"/>
      <c r="G772" s="45"/>
      <c r="H772" s="24"/>
      <c r="I772" s="25" t="str">
        <f>IFERROR(($D772/50-_xlfn.XLOOKUP($E772,$O$35:$O$43,$T$35:$T$43)*F772)/$P$9,"")</f>
        <v/>
      </c>
      <c r="J772" s="25" t="str">
        <f>IFERROR(_xlfn.XLOOKUP($E772,$O$35:$O$43,$T$35:$T$43)*G772/$P$9,"")</f>
        <v/>
      </c>
      <c r="K772" s="25" t="str">
        <f>IF(E772=$O$43,($D772/50-$T$43*$P$9)/$P$9,"")</f>
        <v/>
      </c>
      <c r="L772" s="25" t="str">
        <f>IFERROR(($D772/50-_xlfn.XLOOKUP($H772,$O$48:$O$62,$T$48:$T$62)*$P$14)/$P$9,"")</f>
        <v/>
      </c>
      <c r="M772" s="14">
        <f t="shared" si="11"/>
        <v>0</v>
      </c>
    </row>
    <row r="773" spans="2:13" x14ac:dyDescent="0.25">
      <c r="B773" s="10" t="str">
        <f>IF('Importér data'!C784="type",'Importér data'!F784,"")</f>
        <v/>
      </c>
      <c r="C773" s="10">
        <f>'Importér data'!H784</f>
        <v>0</v>
      </c>
      <c r="D773" s="32" t="str">
        <f>IF('Importér data'!C784="type",'Importér data'!N784,"")</f>
        <v/>
      </c>
      <c r="E773" s="24"/>
      <c r="F773" s="45"/>
      <c r="G773" s="45"/>
      <c r="H773" s="24"/>
      <c r="I773" s="25" t="str">
        <f>IFERROR(($D773/50-_xlfn.XLOOKUP($E773,$O$35:$O$43,$T$35:$T$43)*F773)/$P$9,"")</f>
        <v/>
      </c>
      <c r="J773" s="25" t="str">
        <f>IFERROR(_xlfn.XLOOKUP($E773,$O$35:$O$43,$T$35:$T$43)*G773/$P$9,"")</f>
        <v/>
      </c>
      <c r="K773" s="25" t="str">
        <f>IF(E773=$O$43,($D773/50-$T$43*$P$9)/$P$9,"")</f>
        <v/>
      </c>
      <c r="L773" s="25" t="str">
        <f>IFERROR(($D773/50-_xlfn.XLOOKUP($H773,$O$48:$O$62,$T$48:$T$62)*$P$14)/$P$9,"")</f>
        <v/>
      </c>
      <c r="M773" s="14">
        <f t="shared" si="11"/>
        <v>0</v>
      </c>
    </row>
    <row r="774" spans="2:13" x14ac:dyDescent="0.25">
      <c r="B774" s="10" t="str">
        <f>IF('Importér data'!C785="type",'Importér data'!F785,"")</f>
        <v/>
      </c>
      <c r="C774" s="10">
        <f>'Importér data'!H785</f>
        <v>0</v>
      </c>
      <c r="D774" s="32" t="str">
        <f>IF('Importér data'!C785="type",'Importér data'!N785,"")</f>
        <v/>
      </c>
      <c r="E774" s="24"/>
      <c r="F774" s="45"/>
      <c r="G774" s="45"/>
      <c r="H774" s="24"/>
      <c r="I774" s="25" t="str">
        <f>IFERROR(($D774/50-_xlfn.XLOOKUP($E774,$O$35:$O$43,$T$35:$T$43)*F774)/$P$9,"")</f>
        <v/>
      </c>
      <c r="J774" s="25" t="str">
        <f>IFERROR(_xlfn.XLOOKUP($E774,$O$35:$O$43,$T$35:$T$43)*G774/$P$9,"")</f>
        <v/>
      </c>
      <c r="K774" s="25" t="str">
        <f>IF(E774=$O$43,($D774/50-$T$43*$P$9)/$P$9,"")</f>
        <v/>
      </c>
      <c r="L774" s="25" t="str">
        <f>IFERROR(($D774/50-_xlfn.XLOOKUP($H774,$O$48:$O$62,$T$48:$T$62)*$P$14)/$P$9,"")</f>
        <v/>
      </c>
      <c r="M774" s="14">
        <f t="shared" ref="M774:M837" si="12">SUM(I774:L774)</f>
        <v>0</v>
      </c>
    </row>
    <row r="775" spans="2:13" x14ac:dyDescent="0.25">
      <c r="B775" s="10" t="str">
        <f>IF('Importér data'!C786="type",'Importér data'!F786,"")</f>
        <v/>
      </c>
      <c r="C775" s="10">
        <f>'Importér data'!H786</f>
        <v>0</v>
      </c>
      <c r="D775" s="32" t="str">
        <f>IF('Importér data'!C786="type",'Importér data'!N786,"")</f>
        <v/>
      </c>
      <c r="E775" s="24"/>
      <c r="F775" s="45"/>
      <c r="G775" s="45"/>
      <c r="H775" s="24"/>
      <c r="I775" s="25" t="str">
        <f>IFERROR(($D775/50-_xlfn.XLOOKUP($E775,$O$35:$O$43,$T$35:$T$43)*F775)/$P$9,"")</f>
        <v/>
      </c>
      <c r="J775" s="25" t="str">
        <f>IFERROR(_xlfn.XLOOKUP($E775,$O$35:$O$43,$T$35:$T$43)*G775/$P$9,"")</f>
        <v/>
      </c>
      <c r="K775" s="25" t="str">
        <f>IF(E775=$O$43,($D775/50-$T$43*$P$9)/$P$9,"")</f>
        <v/>
      </c>
      <c r="L775" s="25" t="str">
        <f>IFERROR(($D775/50-_xlfn.XLOOKUP($H775,$O$48:$O$62,$T$48:$T$62)*$P$14)/$P$9,"")</f>
        <v/>
      </c>
      <c r="M775" s="14">
        <f t="shared" si="12"/>
        <v>0</v>
      </c>
    </row>
    <row r="776" spans="2:13" x14ac:dyDescent="0.25">
      <c r="B776" s="10" t="str">
        <f>IF('Importér data'!C787="type",'Importér data'!F787,"")</f>
        <v/>
      </c>
      <c r="C776" s="10">
        <f>'Importér data'!H787</f>
        <v>0</v>
      </c>
      <c r="D776" s="32" t="str">
        <f>IF('Importér data'!C787="type",'Importér data'!N787,"")</f>
        <v/>
      </c>
      <c r="E776" s="24"/>
      <c r="F776" s="45"/>
      <c r="G776" s="45"/>
      <c r="H776" s="24"/>
      <c r="I776" s="25" t="str">
        <f>IFERROR(($D776/50-_xlfn.XLOOKUP($E776,$O$35:$O$43,$T$35:$T$43)*F776)/$P$9,"")</f>
        <v/>
      </c>
      <c r="J776" s="25" t="str">
        <f>IFERROR(_xlfn.XLOOKUP($E776,$O$35:$O$43,$T$35:$T$43)*G776/$P$9,"")</f>
        <v/>
      </c>
      <c r="K776" s="25" t="str">
        <f>IF(E776=$O$43,($D776/50-$T$43*$P$9)/$P$9,"")</f>
        <v/>
      </c>
      <c r="L776" s="25" t="str">
        <f>IFERROR(($D776/50-_xlfn.XLOOKUP($H776,$O$48:$O$62,$T$48:$T$62)*$P$14)/$P$9,"")</f>
        <v/>
      </c>
      <c r="M776" s="14">
        <f t="shared" si="12"/>
        <v>0</v>
      </c>
    </row>
    <row r="777" spans="2:13" x14ac:dyDescent="0.25">
      <c r="B777" s="10" t="str">
        <f>IF('Importér data'!C788="type",'Importér data'!F788,"")</f>
        <v/>
      </c>
      <c r="C777" s="10">
        <f>'Importér data'!H788</f>
        <v>0</v>
      </c>
      <c r="D777" s="32" t="str">
        <f>IF('Importér data'!C788="type",'Importér data'!N788,"")</f>
        <v/>
      </c>
      <c r="E777" s="24"/>
      <c r="F777" s="45"/>
      <c r="G777" s="45"/>
      <c r="H777" s="24"/>
      <c r="I777" s="25" t="str">
        <f>IFERROR(($D777/50-_xlfn.XLOOKUP($E777,$O$35:$O$43,$T$35:$T$43)*F777)/$P$9,"")</f>
        <v/>
      </c>
      <c r="J777" s="25" t="str">
        <f>IFERROR(_xlfn.XLOOKUP($E777,$O$35:$O$43,$T$35:$T$43)*G777/$P$9,"")</f>
        <v/>
      </c>
      <c r="K777" s="25" t="str">
        <f>IF(E777=$O$43,($D777/50-$T$43*$P$9)/$P$9,"")</f>
        <v/>
      </c>
      <c r="L777" s="25" t="str">
        <f>IFERROR(($D777/50-_xlfn.XLOOKUP($H777,$O$48:$O$62,$T$48:$T$62)*$P$14)/$P$9,"")</f>
        <v/>
      </c>
      <c r="M777" s="14">
        <f t="shared" si="12"/>
        <v>0</v>
      </c>
    </row>
    <row r="778" spans="2:13" x14ac:dyDescent="0.25">
      <c r="B778" s="10" t="str">
        <f>IF('Importér data'!C789="type",'Importér data'!F789,"")</f>
        <v/>
      </c>
      <c r="C778" s="10">
        <f>'Importér data'!H789</f>
        <v>0</v>
      </c>
      <c r="D778" s="32" t="str">
        <f>IF('Importér data'!C789="type",'Importér data'!N789,"")</f>
        <v/>
      </c>
      <c r="E778" s="24"/>
      <c r="F778" s="45"/>
      <c r="G778" s="45"/>
      <c r="H778" s="24"/>
      <c r="I778" s="25" t="str">
        <f>IFERROR(($D778/50-_xlfn.XLOOKUP($E778,$O$35:$O$43,$T$35:$T$43)*F778)/$P$9,"")</f>
        <v/>
      </c>
      <c r="J778" s="25" t="str">
        <f>IFERROR(_xlfn.XLOOKUP($E778,$O$35:$O$43,$T$35:$T$43)*G778/$P$9,"")</f>
        <v/>
      </c>
      <c r="K778" s="25" t="str">
        <f>IF(E778=$O$43,($D778/50-$T$43*$P$9)/$P$9,"")</f>
        <v/>
      </c>
      <c r="L778" s="25" t="str">
        <f>IFERROR(($D778/50-_xlfn.XLOOKUP($H778,$O$48:$O$62,$T$48:$T$62)*$P$14)/$P$9,"")</f>
        <v/>
      </c>
      <c r="M778" s="14">
        <f t="shared" si="12"/>
        <v>0</v>
      </c>
    </row>
    <row r="779" spans="2:13" x14ac:dyDescent="0.25">
      <c r="B779" s="10" t="str">
        <f>IF('Importér data'!C790="type",'Importér data'!F790,"")</f>
        <v/>
      </c>
      <c r="C779" s="10">
        <f>'Importér data'!H790</f>
        <v>0</v>
      </c>
      <c r="D779" s="32" t="str">
        <f>IF('Importér data'!C790="type",'Importér data'!N790,"")</f>
        <v/>
      </c>
      <c r="E779" s="24"/>
      <c r="F779" s="45"/>
      <c r="G779" s="45"/>
      <c r="H779" s="24"/>
      <c r="I779" s="25" t="str">
        <f>IFERROR(($D779/50-_xlfn.XLOOKUP($E779,$O$35:$O$43,$T$35:$T$43)*F779)/$P$9,"")</f>
        <v/>
      </c>
      <c r="J779" s="25" t="str">
        <f>IFERROR(_xlfn.XLOOKUP($E779,$O$35:$O$43,$T$35:$T$43)*G779/$P$9,"")</f>
        <v/>
      </c>
      <c r="K779" s="25" t="str">
        <f>IF(E779=$O$43,($D779/50-$T$43*$P$9)/$P$9,"")</f>
        <v/>
      </c>
      <c r="L779" s="25" t="str">
        <f>IFERROR(($D779/50-_xlfn.XLOOKUP($H779,$O$48:$O$62,$T$48:$T$62)*$P$14)/$P$9,"")</f>
        <v/>
      </c>
      <c r="M779" s="14">
        <f t="shared" si="12"/>
        <v>0</v>
      </c>
    </row>
    <row r="780" spans="2:13" x14ac:dyDescent="0.25">
      <c r="B780" s="10" t="str">
        <f>IF('Importér data'!C791="type",'Importér data'!F791,"")</f>
        <v/>
      </c>
      <c r="C780" s="10">
        <f>'Importér data'!H791</f>
        <v>0</v>
      </c>
      <c r="D780" s="32" t="str">
        <f>IF('Importér data'!C791="type",'Importér data'!N791,"")</f>
        <v/>
      </c>
      <c r="E780" s="24"/>
      <c r="F780" s="45"/>
      <c r="G780" s="45"/>
      <c r="H780" s="24"/>
      <c r="I780" s="25" t="str">
        <f>IFERROR(($D780/50-_xlfn.XLOOKUP($E780,$O$35:$O$43,$T$35:$T$43)*F780)/$P$9,"")</f>
        <v/>
      </c>
      <c r="J780" s="25" t="str">
        <f>IFERROR(_xlfn.XLOOKUP($E780,$O$35:$O$43,$T$35:$T$43)*G780/$P$9,"")</f>
        <v/>
      </c>
      <c r="K780" s="25" t="str">
        <f>IF(E780=$O$43,($D780/50-$T$43*$P$9)/$P$9,"")</f>
        <v/>
      </c>
      <c r="L780" s="25" t="str">
        <f>IFERROR(($D780/50-_xlfn.XLOOKUP($H780,$O$48:$O$62,$T$48:$T$62)*$P$14)/$P$9,"")</f>
        <v/>
      </c>
      <c r="M780" s="14">
        <f t="shared" si="12"/>
        <v>0</v>
      </c>
    </row>
    <row r="781" spans="2:13" x14ac:dyDescent="0.25">
      <c r="B781" s="10" t="str">
        <f>IF('Importér data'!C792="type",'Importér data'!F792,"")</f>
        <v/>
      </c>
      <c r="C781" s="10">
        <f>'Importér data'!H792</f>
        <v>0</v>
      </c>
      <c r="D781" s="32" t="str">
        <f>IF('Importér data'!C792="type",'Importér data'!N792,"")</f>
        <v/>
      </c>
      <c r="E781" s="24"/>
      <c r="F781" s="45"/>
      <c r="G781" s="45"/>
      <c r="H781" s="24"/>
      <c r="I781" s="25" t="str">
        <f>IFERROR(($D781/50-_xlfn.XLOOKUP($E781,$O$35:$O$43,$T$35:$T$43)*F781)/$P$9,"")</f>
        <v/>
      </c>
      <c r="J781" s="25" t="str">
        <f>IFERROR(_xlfn.XLOOKUP($E781,$O$35:$O$43,$T$35:$T$43)*G781/$P$9,"")</f>
        <v/>
      </c>
      <c r="K781" s="25" t="str">
        <f>IF(E781=$O$43,($D781/50-$T$43*$P$9)/$P$9,"")</f>
        <v/>
      </c>
      <c r="L781" s="25" t="str">
        <f>IFERROR(($D781/50-_xlfn.XLOOKUP($H781,$O$48:$O$62,$T$48:$T$62)*$P$14)/$P$9,"")</f>
        <v/>
      </c>
      <c r="M781" s="14">
        <f t="shared" si="12"/>
        <v>0</v>
      </c>
    </row>
    <row r="782" spans="2:13" x14ac:dyDescent="0.25">
      <c r="B782" s="10" t="str">
        <f>IF('Importér data'!C793="type",'Importér data'!F793,"")</f>
        <v/>
      </c>
      <c r="C782" s="10">
        <f>'Importér data'!H793</f>
        <v>0</v>
      </c>
      <c r="D782" s="32" t="str">
        <f>IF('Importér data'!C793="type",'Importér data'!N793,"")</f>
        <v/>
      </c>
      <c r="E782" s="24"/>
      <c r="F782" s="45"/>
      <c r="G782" s="45"/>
      <c r="H782" s="24"/>
      <c r="I782" s="25" t="str">
        <f>IFERROR(($D782/50-_xlfn.XLOOKUP($E782,$O$35:$O$43,$T$35:$T$43)*F782)/$P$9,"")</f>
        <v/>
      </c>
      <c r="J782" s="25" t="str">
        <f>IFERROR(_xlfn.XLOOKUP($E782,$O$35:$O$43,$T$35:$T$43)*G782/$P$9,"")</f>
        <v/>
      </c>
      <c r="K782" s="25" t="str">
        <f>IF(E782=$O$43,($D782/50-$T$43*$P$9)/$P$9,"")</f>
        <v/>
      </c>
      <c r="L782" s="25" t="str">
        <f>IFERROR(($D782/50-_xlfn.XLOOKUP($H782,$O$48:$O$62,$T$48:$T$62)*$P$14)/$P$9,"")</f>
        <v/>
      </c>
      <c r="M782" s="14">
        <f t="shared" si="12"/>
        <v>0</v>
      </c>
    </row>
    <row r="783" spans="2:13" x14ac:dyDescent="0.25">
      <c r="B783" s="10" t="str">
        <f>IF('Importér data'!C794="type",'Importér data'!F794,"")</f>
        <v/>
      </c>
      <c r="C783" s="10">
        <f>'Importér data'!H794</f>
        <v>0</v>
      </c>
      <c r="D783" s="32" t="str">
        <f>IF('Importér data'!C794="type",'Importér data'!N794,"")</f>
        <v/>
      </c>
      <c r="E783" s="24"/>
      <c r="F783" s="45"/>
      <c r="G783" s="45"/>
      <c r="H783" s="24"/>
      <c r="I783" s="25" t="str">
        <f>IFERROR(($D783/50-_xlfn.XLOOKUP($E783,$O$35:$O$43,$T$35:$T$43)*F783)/$P$9,"")</f>
        <v/>
      </c>
      <c r="J783" s="25" t="str">
        <f>IFERROR(_xlfn.XLOOKUP($E783,$O$35:$O$43,$T$35:$T$43)*G783/$P$9,"")</f>
        <v/>
      </c>
      <c r="K783" s="25" t="str">
        <f>IF(E783=$O$43,($D783/50-$T$43*$P$9)/$P$9,"")</f>
        <v/>
      </c>
      <c r="L783" s="25" t="str">
        <f>IFERROR(($D783/50-_xlfn.XLOOKUP($H783,$O$48:$O$62,$T$48:$T$62)*$P$14)/$P$9,"")</f>
        <v/>
      </c>
      <c r="M783" s="14">
        <f t="shared" si="12"/>
        <v>0</v>
      </c>
    </row>
    <row r="784" spans="2:13" x14ac:dyDescent="0.25">
      <c r="B784" s="10" t="str">
        <f>IF('Importér data'!C795="type",'Importér data'!F795,"")</f>
        <v/>
      </c>
      <c r="C784" s="10">
        <f>'Importér data'!H795</f>
        <v>0</v>
      </c>
      <c r="D784" s="32" t="str">
        <f>IF('Importér data'!C795="type",'Importér data'!N795,"")</f>
        <v/>
      </c>
      <c r="E784" s="24"/>
      <c r="F784" s="45"/>
      <c r="G784" s="45"/>
      <c r="H784" s="24"/>
      <c r="I784" s="25" t="str">
        <f>IFERROR(($D784/50-_xlfn.XLOOKUP($E784,$O$35:$O$43,$T$35:$T$43)*F784)/$P$9,"")</f>
        <v/>
      </c>
      <c r="J784" s="25" t="str">
        <f>IFERROR(_xlfn.XLOOKUP($E784,$O$35:$O$43,$T$35:$T$43)*G784/$P$9,"")</f>
        <v/>
      </c>
      <c r="K784" s="25" t="str">
        <f>IF(E784=$O$43,($D784/50-$T$43*$P$9)/$P$9,"")</f>
        <v/>
      </c>
      <c r="L784" s="25" t="str">
        <f>IFERROR(($D784/50-_xlfn.XLOOKUP($H784,$O$48:$O$62,$T$48:$T$62)*$P$14)/$P$9,"")</f>
        <v/>
      </c>
      <c r="M784" s="14">
        <f t="shared" si="12"/>
        <v>0</v>
      </c>
    </row>
    <row r="785" spans="2:13" x14ac:dyDescent="0.25">
      <c r="B785" s="10" t="str">
        <f>IF('Importér data'!C796="type",'Importér data'!F796,"")</f>
        <v/>
      </c>
      <c r="C785" s="10">
        <f>'Importér data'!H796</f>
        <v>0</v>
      </c>
      <c r="D785" s="32" t="str">
        <f>IF('Importér data'!C796="type",'Importér data'!N796,"")</f>
        <v/>
      </c>
      <c r="E785" s="24"/>
      <c r="F785" s="45"/>
      <c r="G785" s="45"/>
      <c r="H785" s="24"/>
      <c r="I785" s="25" t="str">
        <f>IFERROR(($D785/50-_xlfn.XLOOKUP($E785,$O$35:$O$43,$T$35:$T$43)*F785)/$P$9,"")</f>
        <v/>
      </c>
      <c r="J785" s="25" t="str">
        <f>IFERROR(_xlfn.XLOOKUP($E785,$O$35:$O$43,$T$35:$T$43)*G785/$P$9,"")</f>
        <v/>
      </c>
      <c r="K785" s="25" t="str">
        <f>IF(E785=$O$43,($D785/50-$T$43*$P$9)/$P$9,"")</f>
        <v/>
      </c>
      <c r="L785" s="25" t="str">
        <f>IFERROR(($D785/50-_xlfn.XLOOKUP($H785,$O$48:$O$62,$T$48:$T$62)*$P$14)/$P$9,"")</f>
        <v/>
      </c>
      <c r="M785" s="14">
        <f t="shared" si="12"/>
        <v>0</v>
      </c>
    </row>
    <row r="786" spans="2:13" x14ac:dyDescent="0.25">
      <c r="B786" s="10" t="str">
        <f>IF('Importér data'!C797="type",'Importér data'!F797,"")</f>
        <v/>
      </c>
      <c r="C786" s="10">
        <f>'Importér data'!H797</f>
        <v>0</v>
      </c>
      <c r="D786" s="32" t="str">
        <f>IF('Importér data'!C797="type",'Importér data'!N797,"")</f>
        <v/>
      </c>
      <c r="E786" s="24"/>
      <c r="F786" s="45"/>
      <c r="G786" s="45"/>
      <c r="H786" s="24"/>
      <c r="I786" s="25" t="str">
        <f>IFERROR(($D786/50-_xlfn.XLOOKUP($E786,$O$35:$O$43,$T$35:$T$43)*F786)/$P$9,"")</f>
        <v/>
      </c>
      <c r="J786" s="25" t="str">
        <f>IFERROR(_xlfn.XLOOKUP($E786,$O$35:$O$43,$T$35:$T$43)*G786/$P$9,"")</f>
        <v/>
      </c>
      <c r="K786" s="25" t="str">
        <f>IF(E786=$O$43,($D786/50-$T$43*$P$9)/$P$9,"")</f>
        <v/>
      </c>
      <c r="L786" s="25" t="str">
        <f>IFERROR(($D786/50-_xlfn.XLOOKUP($H786,$O$48:$O$62,$T$48:$T$62)*$P$14)/$P$9,"")</f>
        <v/>
      </c>
      <c r="M786" s="14">
        <f t="shared" si="12"/>
        <v>0</v>
      </c>
    </row>
    <row r="787" spans="2:13" x14ac:dyDescent="0.25">
      <c r="B787" s="10" t="str">
        <f>IF('Importér data'!C798="type",'Importér data'!F798,"")</f>
        <v/>
      </c>
      <c r="C787" s="10">
        <f>'Importér data'!H798</f>
        <v>0</v>
      </c>
      <c r="D787" s="32" t="str">
        <f>IF('Importér data'!C798="type",'Importér data'!N798,"")</f>
        <v/>
      </c>
      <c r="E787" s="24"/>
      <c r="F787" s="45"/>
      <c r="G787" s="45"/>
      <c r="H787" s="24"/>
      <c r="I787" s="25" t="str">
        <f>IFERROR(($D787/50-_xlfn.XLOOKUP($E787,$O$35:$O$43,$T$35:$T$43)*F787)/$P$9,"")</f>
        <v/>
      </c>
      <c r="J787" s="25" t="str">
        <f>IFERROR(_xlfn.XLOOKUP($E787,$O$35:$O$43,$T$35:$T$43)*G787/$P$9,"")</f>
        <v/>
      </c>
      <c r="K787" s="25" t="str">
        <f>IF(E787=$O$43,($D787/50-$T$43*$P$9)/$P$9,"")</f>
        <v/>
      </c>
      <c r="L787" s="25" t="str">
        <f>IFERROR(($D787/50-_xlfn.XLOOKUP($H787,$O$48:$O$62,$T$48:$T$62)*$P$14)/$P$9,"")</f>
        <v/>
      </c>
      <c r="M787" s="14">
        <f t="shared" si="12"/>
        <v>0</v>
      </c>
    </row>
    <row r="788" spans="2:13" x14ac:dyDescent="0.25">
      <c r="B788" s="10" t="str">
        <f>IF('Importér data'!C799="type",'Importér data'!F799,"")</f>
        <v/>
      </c>
      <c r="C788" s="10">
        <f>'Importér data'!H799</f>
        <v>0</v>
      </c>
      <c r="D788" s="32" t="str">
        <f>IF('Importér data'!C799="type",'Importér data'!N799,"")</f>
        <v/>
      </c>
      <c r="E788" s="24"/>
      <c r="F788" s="45"/>
      <c r="G788" s="45"/>
      <c r="H788" s="24"/>
      <c r="I788" s="25" t="str">
        <f>IFERROR(($D788/50-_xlfn.XLOOKUP($E788,$O$35:$O$43,$T$35:$T$43)*F788)/$P$9,"")</f>
        <v/>
      </c>
      <c r="J788" s="25" t="str">
        <f>IFERROR(_xlfn.XLOOKUP($E788,$O$35:$O$43,$T$35:$T$43)*G788/$P$9,"")</f>
        <v/>
      </c>
      <c r="K788" s="25" t="str">
        <f>IF(E788=$O$43,($D788/50-$T$43*$P$9)/$P$9,"")</f>
        <v/>
      </c>
      <c r="L788" s="25" t="str">
        <f>IFERROR(($D788/50-_xlfn.XLOOKUP($H788,$O$48:$O$62,$T$48:$T$62)*$P$14)/$P$9,"")</f>
        <v/>
      </c>
      <c r="M788" s="14">
        <f t="shared" si="12"/>
        <v>0</v>
      </c>
    </row>
    <row r="789" spans="2:13" x14ac:dyDescent="0.25">
      <c r="B789" s="10" t="str">
        <f>IF('Importér data'!C800="type",'Importér data'!F800,"")</f>
        <v/>
      </c>
      <c r="C789" s="10">
        <f>'Importér data'!H800</f>
        <v>0</v>
      </c>
      <c r="D789" s="32" t="str">
        <f>IF('Importér data'!C800="type",'Importér data'!N800,"")</f>
        <v/>
      </c>
      <c r="E789" s="24"/>
      <c r="F789" s="45"/>
      <c r="G789" s="45"/>
      <c r="H789" s="24"/>
      <c r="I789" s="25" t="str">
        <f>IFERROR(($D789/50-_xlfn.XLOOKUP($E789,$O$35:$O$43,$T$35:$T$43)*F789)/$P$9,"")</f>
        <v/>
      </c>
      <c r="J789" s="25" t="str">
        <f>IFERROR(_xlfn.XLOOKUP($E789,$O$35:$O$43,$T$35:$T$43)*G789/$P$9,"")</f>
        <v/>
      </c>
      <c r="K789" s="25" t="str">
        <f>IF(E789=$O$43,($D789/50-$T$43*$P$9)/$P$9,"")</f>
        <v/>
      </c>
      <c r="L789" s="25" t="str">
        <f>IFERROR(($D789/50-_xlfn.XLOOKUP($H789,$O$48:$O$62,$T$48:$T$62)*$P$14)/$P$9,"")</f>
        <v/>
      </c>
      <c r="M789" s="14">
        <f t="shared" si="12"/>
        <v>0</v>
      </c>
    </row>
    <row r="790" spans="2:13" x14ac:dyDescent="0.25">
      <c r="B790" s="10" t="str">
        <f>IF('Importér data'!C801="type",'Importér data'!F801,"")</f>
        <v/>
      </c>
      <c r="C790" s="10">
        <f>'Importér data'!H801</f>
        <v>0</v>
      </c>
      <c r="D790" s="32" t="str">
        <f>IF('Importér data'!C801="type",'Importér data'!N801,"")</f>
        <v/>
      </c>
      <c r="E790" s="24"/>
      <c r="F790" s="45"/>
      <c r="G790" s="45"/>
      <c r="H790" s="24"/>
      <c r="I790" s="25" t="str">
        <f>IFERROR(($D790/50-_xlfn.XLOOKUP($E790,$O$35:$O$43,$T$35:$T$43)*F790)/$P$9,"")</f>
        <v/>
      </c>
      <c r="J790" s="25" t="str">
        <f>IFERROR(_xlfn.XLOOKUP($E790,$O$35:$O$43,$T$35:$T$43)*G790/$P$9,"")</f>
        <v/>
      </c>
      <c r="K790" s="25" t="str">
        <f>IF(E790=$O$43,($D790/50-$T$43*$P$9)/$P$9,"")</f>
        <v/>
      </c>
      <c r="L790" s="25" t="str">
        <f>IFERROR(($D790/50-_xlfn.XLOOKUP($H790,$O$48:$O$62,$T$48:$T$62)*$P$14)/$P$9,"")</f>
        <v/>
      </c>
      <c r="M790" s="14">
        <f t="shared" si="12"/>
        <v>0</v>
      </c>
    </row>
    <row r="791" spans="2:13" x14ac:dyDescent="0.25">
      <c r="B791" s="10" t="str">
        <f>IF('Importér data'!C802="type",'Importér data'!F802,"")</f>
        <v/>
      </c>
      <c r="C791" s="10">
        <f>'Importér data'!H802</f>
        <v>0</v>
      </c>
      <c r="D791" s="32" t="str">
        <f>IF('Importér data'!C802="type",'Importér data'!N802,"")</f>
        <v/>
      </c>
      <c r="E791" s="24"/>
      <c r="F791" s="45"/>
      <c r="G791" s="45"/>
      <c r="H791" s="24"/>
      <c r="I791" s="25" t="str">
        <f>IFERROR(($D791/50-_xlfn.XLOOKUP($E791,$O$35:$O$43,$T$35:$T$43)*F791)/$P$9,"")</f>
        <v/>
      </c>
      <c r="J791" s="25" t="str">
        <f>IFERROR(_xlfn.XLOOKUP($E791,$O$35:$O$43,$T$35:$T$43)*G791/$P$9,"")</f>
        <v/>
      </c>
      <c r="K791" s="25" t="str">
        <f>IF(E791=$O$43,($D791/50-$T$43*$P$9)/$P$9,"")</f>
        <v/>
      </c>
      <c r="L791" s="25" t="str">
        <f>IFERROR(($D791/50-_xlfn.XLOOKUP($H791,$O$48:$O$62,$T$48:$T$62)*$P$14)/$P$9,"")</f>
        <v/>
      </c>
      <c r="M791" s="14">
        <f t="shared" si="12"/>
        <v>0</v>
      </c>
    </row>
    <row r="792" spans="2:13" x14ac:dyDescent="0.25">
      <c r="B792" s="10" t="str">
        <f>IF('Importér data'!C803="type",'Importér data'!F803,"")</f>
        <v/>
      </c>
      <c r="C792" s="10">
        <f>'Importér data'!H803</f>
        <v>0</v>
      </c>
      <c r="D792" s="32" t="str">
        <f>IF('Importér data'!C803="type",'Importér data'!N803,"")</f>
        <v/>
      </c>
      <c r="E792" s="24"/>
      <c r="F792" s="45"/>
      <c r="G792" s="45"/>
      <c r="H792" s="24"/>
      <c r="I792" s="25" t="str">
        <f>IFERROR(($D792/50-_xlfn.XLOOKUP($E792,$O$35:$O$43,$T$35:$T$43)*F792)/$P$9,"")</f>
        <v/>
      </c>
      <c r="J792" s="25" t="str">
        <f>IFERROR(_xlfn.XLOOKUP($E792,$O$35:$O$43,$T$35:$T$43)*G792/$P$9,"")</f>
        <v/>
      </c>
      <c r="K792" s="25" t="str">
        <f>IF(E792=$O$43,($D792/50-$T$43*$P$9)/$P$9,"")</f>
        <v/>
      </c>
      <c r="L792" s="25" t="str">
        <f>IFERROR(($D792/50-_xlfn.XLOOKUP($H792,$O$48:$O$62,$T$48:$T$62)*$P$14)/$P$9,"")</f>
        <v/>
      </c>
      <c r="M792" s="14">
        <f t="shared" si="12"/>
        <v>0</v>
      </c>
    </row>
    <row r="793" spans="2:13" x14ac:dyDescent="0.25">
      <c r="B793" s="10" t="str">
        <f>IF('Importér data'!C804="type",'Importér data'!F804,"")</f>
        <v/>
      </c>
      <c r="C793" s="10">
        <f>'Importér data'!H804</f>
        <v>0</v>
      </c>
      <c r="D793" s="32" t="str">
        <f>IF('Importér data'!C804="type",'Importér data'!N804,"")</f>
        <v/>
      </c>
      <c r="E793" s="24"/>
      <c r="F793" s="45"/>
      <c r="G793" s="45"/>
      <c r="H793" s="24"/>
      <c r="I793" s="25" t="str">
        <f>IFERROR(($D793/50-_xlfn.XLOOKUP($E793,$O$35:$O$43,$T$35:$T$43)*F793)/$P$9,"")</f>
        <v/>
      </c>
      <c r="J793" s="25" t="str">
        <f>IFERROR(_xlfn.XLOOKUP($E793,$O$35:$O$43,$T$35:$T$43)*G793/$P$9,"")</f>
        <v/>
      </c>
      <c r="K793" s="25" t="str">
        <f>IF(E793=$O$43,($D793/50-$T$43*$P$9)/$P$9,"")</f>
        <v/>
      </c>
      <c r="L793" s="25" t="str">
        <f>IFERROR(($D793/50-_xlfn.XLOOKUP($H793,$O$48:$O$62,$T$48:$T$62)*$P$14)/$P$9,"")</f>
        <v/>
      </c>
      <c r="M793" s="14">
        <f t="shared" si="12"/>
        <v>0</v>
      </c>
    </row>
    <row r="794" spans="2:13" x14ac:dyDescent="0.25">
      <c r="B794" s="10" t="str">
        <f>IF('Importér data'!C805="type",'Importér data'!F805,"")</f>
        <v/>
      </c>
      <c r="C794" s="10">
        <f>'Importér data'!H805</f>
        <v>0</v>
      </c>
      <c r="D794" s="32" t="str">
        <f>IF('Importér data'!C805="type",'Importér data'!N805,"")</f>
        <v/>
      </c>
      <c r="E794" s="24"/>
      <c r="F794" s="45"/>
      <c r="G794" s="45"/>
      <c r="H794" s="24"/>
      <c r="I794" s="25" t="str">
        <f>IFERROR(($D794/50-_xlfn.XLOOKUP($E794,$O$35:$O$43,$T$35:$T$43)*F794)/$P$9,"")</f>
        <v/>
      </c>
      <c r="J794" s="25" t="str">
        <f>IFERROR(_xlfn.XLOOKUP($E794,$O$35:$O$43,$T$35:$T$43)*G794/$P$9,"")</f>
        <v/>
      </c>
      <c r="K794" s="25" t="str">
        <f>IF(E794=$O$43,($D794/50-$T$43*$P$9)/$P$9,"")</f>
        <v/>
      </c>
      <c r="L794" s="25" t="str">
        <f>IFERROR(($D794/50-_xlfn.XLOOKUP($H794,$O$48:$O$62,$T$48:$T$62)*$P$14)/$P$9,"")</f>
        <v/>
      </c>
      <c r="M794" s="14">
        <f t="shared" si="12"/>
        <v>0</v>
      </c>
    </row>
    <row r="795" spans="2:13" x14ac:dyDescent="0.25">
      <c r="B795" s="10" t="str">
        <f>IF('Importér data'!C806="type",'Importér data'!F806,"")</f>
        <v/>
      </c>
      <c r="C795" s="10">
        <f>'Importér data'!H806</f>
        <v>0</v>
      </c>
      <c r="D795" s="32" t="str">
        <f>IF('Importér data'!C806="type",'Importér data'!N806,"")</f>
        <v/>
      </c>
      <c r="E795" s="24"/>
      <c r="F795" s="45"/>
      <c r="G795" s="45"/>
      <c r="H795" s="24"/>
      <c r="I795" s="25" t="str">
        <f>IFERROR(($D795/50-_xlfn.XLOOKUP($E795,$O$35:$O$43,$T$35:$T$43)*F795)/$P$9,"")</f>
        <v/>
      </c>
      <c r="J795" s="25" t="str">
        <f>IFERROR(_xlfn.XLOOKUP($E795,$O$35:$O$43,$T$35:$T$43)*G795/$P$9,"")</f>
        <v/>
      </c>
      <c r="K795" s="25" t="str">
        <f>IF(E795=$O$43,($D795/50-$T$43*$P$9)/$P$9,"")</f>
        <v/>
      </c>
      <c r="L795" s="25" t="str">
        <f>IFERROR(($D795/50-_xlfn.XLOOKUP($H795,$O$48:$O$62,$T$48:$T$62)*$P$14)/$P$9,"")</f>
        <v/>
      </c>
      <c r="M795" s="14">
        <f t="shared" si="12"/>
        <v>0</v>
      </c>
    </row>
    <row r="796" spans="2:13" x14ac:dyDescent="0.25">
      <c r="B796" s="10" t="str">
        <f>IF('Importér data'!C807="type",'Importér data'!F807,"")</f>
        <v/>
      </c>
      <c r="C796" s="10">
        <f>'Importér data'!H807</f>
        <v>0</v>
      </c>
      <c r="D796" s="32" t="str">
        <f>IF('Importér data'!C807="type",'Importér data'!N807,"")</f>
        <v/>
      </c>
      <c r="E796" s="24"/>
      <c r="F796" s="45"/>
      <c r="G796" s="45"/>
      <c r="H796" s="24"/>
      <c r="I796" s="25" t="str">
        <f>IFERROR(($D796/50-_xlfn.XLOOKUP($E796,$O$35:$O$43,$T$35:$T$43)*F796)/$P$9,"")</f>
        <v/>
      </c>
      <c r="J796" s="25" t="str">
        <f>IFERROR(_xlfn.XLOOKUP($E796,$O$35:$O$43,$T$35:$T$43)*G796/$P$9,"")</f>
        <v/>
      </c>
      <c r="K796" s="25" t="str">
        <f>IF(E796=$O$43,($D796/50-$T$43*$P$9)/$P$9,"")</f>
        <v/>
      </c>
      <c r="L796" s="25" t="str">
        <f>IFERROR(($D796/50-_xlfn.XLOOKUP($H796,$O$48:$O$62,$T$48:$T$62)*$P$14)/$P$9,"")</f>
        <v/>
      </c>
      <c r="M796" s="14">
        <f t="shared" si="12"/>
        <v>0</v>
      </c>
    </row>
    <row r="797" spans="2:13" x14ac:dyDescent="0.25">
      <c r="B797" s="10" t="str">
        <f>IF('Importér data'!C808="type",'Importér data'!F808,"")</f>
        <v/>
      </c>
      <c r="C797" s="10">
        <f>'Importér data'!H808</f>
        <v>0</v>
      </c>
      <c r="D797" s="32" t="str">
        <f>IF('Importér data'!C808="type",'Importér data'!N808,"")</f>
        <v/>
      </c>
      <c r="E797" s="24"/>
      <c r="F797" s="45"/>
      <c r="G797" s="45"/>
      <c r="H797" s="24"/>
      <c r="I797" s="25" t="str">
        <f>IFERROR(($D797/50-_xlfn.XLOOKUP($E797,$O$35:$O$43,$T$35:$T$43)*F797)/$P$9,"")</f>
        <v/>
      </c>
      <c r="J797" s="25" t="str">
        <f>IFERROR(_xlfn.XLOOKUP($E797,$O$35:$O$43,$T$35:$T$43)*G797/$P$9,"")</f>
        <v/>
      </c>
      <c r="K797" s="25" t="str">
        <f>IF(E797=$O$43,($D797/50-$T$43*$P$9)/$P$9,"")</f>
        <v/>
      </c>
      <c r="L797" s="25" t="str">
        <f>IFERROR(($D797/50-_xlfn.XLOOKUP($H797,$O$48:$O$62,$T$48:$T$62)*$P$14)/$P$9,"")</f>
        <v/>
      </c>
      <c r="M797" s="14">
        <f t="shared" si="12"/>
        <v>0</v>
      </c>
    </row>
    <row r="798" spans="2:13" x14ac:dyDescent="0.25">
      <c r="B798" s="10" t="str">
        <f>IF('Importér data'!C809="type",'Importér data'!F809,"")</f>
        <v/>
      </c>
      <c r="C798" s="10">
        <f>'Importér data'!H809</f>
        <v>0</v>
      </c>
      <c r="D798" s="32" t="str">
        <f>IF('Importér data'!C809="type",'Importér data'!N809,"")</f>
        <v/>
      </c>
      <c r="E798" s="24"/>
      <c r="F798" s="45"/>
      <c r="G798" s="45"/>
      <c r="H798" s="24"/>
      <c r="I798" s="25" t="str">
        <f>IFERROR(($D798/50-_xlfn.XLOOKUP($E798,$O$35:$O$43,$T$35:$T$43)*F798)/$P$9,"")</f>
        <v/>
      </c>
      <c r="J798" s="25" t="str">
        <f>IFERROR(_xlfn.XLOOKUP($E798,$O$35:$O$43,$T$35:$T$43)*G798/$P$9,"")</f>
        <v/>
      </c>
      <c r="K798" s="25" t="str">
        <f>IF(E798=$O$43,($D798/50-$T$43*$P$9)/$P$9,"")</f>
        <v/>
      </c>
      <c r="L798" s="25" t="str">
        <f>IFERROR(($D798/50-_xlfn.XLOOKUP($H798,$O$48:$O$62,$T$48:$T$62)*$P$14)/$P$9,"")</f>
        <v/>
      </c>
      <c r="M798" s="14">
        <f t="shared" si="12"/>
        <v>0</v>
      </c>
    </row>
    <row r="799" spans="2:13" x14ac:dyDescent="0.25">
      <c r="B799" s="10" t="str">
        <f>IF('Importér data'!C810="type",'Importér data'!F810,"")</f>
        <v/>
      </c>
      <c r="C799" s="10">
        <f>'Importér data'!H810</f>
        <v>0</v>
      </c>
      <c r="D799" s="32" t="str">
        <f>IF('Importér data'!C810="type",'Importér data'!N810,"")</f>
        <v/>
      </c>
      <c r="E799" s="24"/>
      <c r="F799" s="45"/>
      <c r="G799" s="45"/>
      <c r="H799" s="24"/>
      <c r="I799" s="25" t="str">
        <f>IFERROR(($D799/50-_xlfn.XLOOKUP($E799,$O$35:$O$43,$T$35:$T$43)*F799)/$P$9,"")</f>
        <v/>
      </c>
      <c r="J799" s="25" t="str">
        <f>IFERROR(_xlfn.XLOOKUP($E799,$O$35:$O$43,$T$35:$T$43)*G799/$P$9,"")</f>
        <v/>
      </c>
      <c r="K799" s="25" t="str">
        <f>IF(E799=$O$43,($D799/50-$T$43*$P$9)/$P$9,"")</f>
        <v/>
      </c>
      <c r="L799" s="25" t="str">
        <f>IFERROR(($D799/50-_xlfn.XLOOKUP($H799,$O$48:$O$62,$T$48:$T$62)*$P$14)/$P$9,"")</f>
        <v/>
      </c>
      <c r="M799" s="14">
        <f t="shared" si="12"/>
        <v>0</v>
      </c>
    </row>
    <row r="800" spans="2:13" x14ac:dyDescent="0.25">
      <c r="B800" s="10" t="str">
        <f>IF('Importér data'!C811="type",'Importér data'!F811,"")</f>
        <v/>
      </c>
      <c r="C800" s="10">
        <f>'Importér data'!H811</f>
        <v>0</v>
      </c>
      <c r="D800" s="32" t="str">
        <f>IF('Importér data'!C811="type",'Importér data'!N811,"")</f>
        <v/>
      </c>
      <c r="E800" s="24"/>
      <c r="F800" s="45"/>
      <c r="G800" s="45"/>
      <c r="H800" s="24"/>
      <c r="I800" s="25" t="str">
        <f>IFERROR(($D800/50-_xlfn.XLOOKUP($E800,$O$35:$O$43,$T$35:$T$43)*F800)/$P$9,"")</f>
        <v/>
      </c>
      <c r="J800" s="25" t="str">
        <f>IFERROR(_xlfn.XLOOKUP($E800,$O$35:$O$43,$T$35:$T$43)*G800/$P$9,"")</f>
        <v/>
      </c>
      <c r="K800" s="25" t="str">
        <f>IF(E800=$O$43,($D800/50-$T$43*$P$9)/$P$9,"")</f>
        <v/>
      </c>
      <c r="L800" s="25" t="str">
        <f>IFERROR(($D800/50-_xlfn.XLOOKUP($H800,$O$48:$O$62,$T$48:$T$62)*$P$14)/$P$9,"")</f>
        <v/>
      </c>
      <c r="M800" s="14">
        <f t="shared" si="12"/>
        <v>0</v>
      </c>
    </row>
    <row r="801" spans="2:13" x14ac:dyDescent="0.25">
      <c r="B801" s="10" t="str">
        <f>IF('Importér data'!C812="type",'Importér data'!F812,"")</f>
        <v/>
      </c>
      <c r="C801" s="10">
        <f>'Importér data'!H812</f>
        <v>0</v>
      </c>
      <c r="D801" s="32" t="str">
        <f>IF('Importér data'!C812="type",'Importér data'!N812,"")</f>
        <v/>
      </c>
      <c r="E801" s="24"/>
      <c r="F801" s="45"/>
      <c r="G801" s="45"/>
      <c r="H801" s="24"/>
      <c r="I801" s="25" t="str">
        <f>IFERROR(($D801/50-_xlfn.XLOOKUP($E801,$O$35:$O$43,$T$35:$T$43)*F801)/$P$9,"")</f>
        <v/>
      </c>
      <c r="J801" s="25" t="str">
        <f>IFERROR(_xlfn.XLOOKUP($E801,$O$35:$O$43,$T$35:$T$43)*G801/$P$9,"")</f>
        <v/>
      </c>
      <c r="K801" s="25" t="str">
        <f>IF(E801=$O$43,($D801/50-$T$43*$P$9)/$P$9,"")</f>
        <v/>
      </c>
      <c r="L801" s="25" t="str">
        <f>IFERROR(($D801/50-_xlfn.XLOOKUP($H801,$O$48:$O$62,$T$48:$T$62)*$P$14)/$P$9,"")</f>
        <v/>
      </c>
      <c r="M801" s="14">
        <f t="shared" si="12"/>
        <v>0</v>
      </c>
    </row>
    <row r="802" spans="2:13" x14ac:dyDescent="0.25">
      <c r="B802" s="10" t="str">
        <f>IF('Importér data'!C813="type",'Importér data'!F813,"")</f>
        <v/>
      </c>
      <c r="C802" s="10">
        <f>'Importér data'!H813</f>
        <v>0</v>
      </c>
      <c r="D802" s="32" t="str">
        <f>IF('Importér data'!C813="type",'Importér data'!N813,"")</f>
        <v/>
      </c>
      <c r="E802" s="24"/>
      <c r="F802" s="45"/>
      <c r="G802" s="45"/>
      <c r="H802" s="24"/>
      <c r="I802" s="25" t="str">
        <f>IFERROR(($D802/50-_xlfn.XLOOKUP($E802,$O$35:$O$43,$T$35:$T$43)*F802)/$P$9,"")</f>
        <v/>
      </c>
      <c r="J802" s="25" t="str">
        <f>IFERROR(_xlfn.XLOOKUP($E802,$O$35:$O$43,$T$35:$T$43)*G802/$P$9,"")</f>
        <v/>
      </c>
      <c r="K802" s="25" t="str">
        <f>IF(E802=$O$43,($D802/50-$T$43*$P$9)/$P$9,"")</f>
        <v/>
      </c>
      <c r="L802" s="25" t="str">
        <f>IFERROR(($D802/50-_xlfn.XLOOKUP($H802,$O$48:$O$62,$T$48:$T$62)*$P$14)/$P$9,"")</f>
        <v/>
      </c>
      <c r="M802" s="14">
        <f t="shared" si="12"/>
        <v>0</v>
      </c>
    </row>
    <row r="803" spans="2:13" x14ac:dyDescent="0.25">
      <c r="B803" s="10" t="str">
        <f>IF('Importér data'!C814="type",'Importér data'!F814,"")</f>
        <v/>
      </c>
      <c r="C803" s="10">
        <f>'Importér data'!H814</f>
        <v>0</v>
      </c>
      <c r="D803" s="32" t="str">
        <f>IF('Importér data'!C814="type",'Importér data'!N814,"")</f>
        <v/>
      </c>
      <c r="E803" s="24"/>
      <c r="F803" s="45"/>
      <c r="G803" s="45"/>
      <c r="H803" s="24"/>
      <c r="I803" s="25" t="str">
        <f>IFERROR(($D803/50-_xlfn.XLOOKUP($E803,$O$35:$O$43,$T$35:$T$43)*F803)/$P$9,"")</f>
        <v/>
      </c>
      <c r="J803" s="25" t="str">
        <f>IFERROR(_xlfn.XLOOKUP($E803,$O$35:$O$43,$T$35:$T$43)*G803/$P$9,"")</f>
        <v/>
      </c>
      <c r="K803" s="25" t="str">
        <f>IF(E803=$O$43,($D803/50-$T$43*$P$9)/$P$9,"")</f>
        <v/>
      </c>
      <c r="L803" s="25" t="str">
        <f>IFERROR(($D803/50-_xlfn.XLOOKUP($H803,$O$48:$O$62,$T$48:$T$62)*$P$14)/$P$9,"")</f>
        <v/>
      </c>
      <c r="M803" s="14">
        <f t="shared" si="12"/>
        <v>0</v>
      </c>
    </row>
    <row r="804" spans="2:13" x14ac:dyDescent="0.25">
      <c r="B804" s="10" t="str">
        <f>IF('Importér data'!C815="type",'Importér data'!F815,"")</f>
        <v/>
      </c>
      <c r="C804" s="10">
        <f>'Importér data'!H815</f>
        <v>0</v>
      </c>
      <c r="D804" s="32" t="str">
        <f>IF('Importér data'!C815="type",'Importér data'!N815,"")</f>
        <v/>
      </c>
      <c r="E804" s="24"/>
      <c r="F804" s="45"/>
      <c r="G804" s="45"/>
      <c r="H804" s="24"/>
      <c r="I804" s="25" t="str">
        <f>IFERROR(($D804/50-_xlfn.XLOOKUP($E804,$O$35:$O$43,$T$35:$T$43)*F804)/$P$9,"")</f>
        <v/>
      </c>
      <c r="J804" s="25" t="str">
        <f>IFERROR(_xlfn.XLOOKUP($E804,$O$35:$O$43,$T$35:$T$43)*G804/$P$9,"")</f>
        <v/>
      </c>
      <c r="K804" s="25" t="str">
        <f>IF(E804=$O$43,($D804/50-$T$43*$P$9)/$P$9,"")</f>
        <v/>
      </c>
      <c r="L804" s="25" t="str">
        <f>IFERROR(($D804/50-_xlfn.XLOOKUP($H804,$O$48:$O$62,$T$48:$T$62)*$P$14)/$P$9,"")</f>
        <v/>
      </c>
      <c r="M804" s="14">
        <f t="shared" si="12"/>
        <v>0</v>
      </c>
    </row>
    <row r="805" spans="2:13" x14ac:dyDescent="0.25">
      <c r="B805" s="10" t="str">
        <f>IF('Importér data'!C816="type",'Importér data'!F816,"")</f>
        <v/>
      </c>
      <c r="C805" s="10">
        <f>'Importér data'!H816</f>
        <v>0</v>
      </c>
      <c r="D805" s="32" t="str">
        <f>IF('Importér data'!C816="type",'Importér data'!N816,"")</f>
        <v/>
      </c>
      <c r="E805" s="24"/>
      <c r="F805" s="45"/>
      <c r="G805" s="45"/>
      <c r="H805" s="24"/>
      <c r="I805" s="25" t="str">
        <f>IFERROR(($D805/50-_xlfn.XLOOKUP($E805,$O$35:$O$43,$T$35:$T$43)*F805)/$P$9,"")</f>
        <v/>
      </c>
      <c r="J805" s="25" t="str">
        <f>IFERROR(_xlfn.XLOOKUP($E805,$O$35:$O$43,$T$35:$T$43)*G805/$P$9,"")</f>
        <v/>
      </c>
      <c r="K805" s="25" t="str">
        <f>IF(E805=$O$43,($D805/50-$T$43*$P$9)/$P$9,"")</f>
        <v/>
      </c>
      <c r="L805" s="25" t="str">
        <f>IFERROR(($D805/50-_xlfn.XLOOKUP($H805,$O$48:$O$62,$T$48:$T$62)*$P$14)/$P$9,"")</f>
        <v/>
      </c>
      <c r="M805" s="14">
        <f t="shared" si="12"/>
        <v>0</v>
      </c>
    </row>
    <row r="806" spans="2:13" x14ac:dyDescent="0.25">
      <c r="B806" s="10" t="str">
        <f>IF('Importér data'!C817="type",'Importér data'!F817,"")</f>
        <v/>
      </c>
      <c r="C806" s="10">
        <f>'Importér data'!H817</f>
        <v>0</v>
      </c>
      <c r="D806" s="32" t="str">
        <f>IF('Importér data'!C817="type",'Importér data'!N817,"")</f>
        <v/>
      </c>
      <c r="E806" s="24"/>
      <c r="F806" s="45"/>
      <c r="G806" s="45"/>
      <c r="H806" s="24"/>
      <c r="I806" s="25" t="str">
        <f>IFERROR(($D806/50-_xlfn.XLOOKUP($E806,$O$35:$O$43,$T$35:$T$43)*F806)/$P$9,"")</f>
        <v/>
      </c>
      <c r="J806" s="25" t="str">
        <f>IFERROR(_xlfn.XLOOKUP($E806,$O$35:$O$43,$T$35:$T$43)*G806/$P$9,"")</f>
        <v/>
      </c>
      <c r="K806" s="25" t="str">
        <f>IF(E806=$O$43,($D806/50-$T$43*$P$9)/$P$9,"")</f>
        <v/>
      </c>
      <c r="L806" s="25" t="str">
        <f>IFERROR(($D806/50-_xlfn.XLOOKUP($H806,$O$48:$O$62,$T$48:$T$62)*$P$14)/$P$9,"")</f>
        <v/>
      </c>
      <c r="M806" s="14">
        <f t="shared" si="12"/>
        <v>0</v>
      </c>
    </row>
    <row r="807" spans="2:13" x14ac:dyDescent="0.25">
      <c r="B807" s="10" t="str">
        <f>IF('Importér data'!C818="type",'Importér data'!F818,"")</f>
        <v/>
      </c>
      <c r="C807" s="10">
        <f>'Importér data'!H818</f>
        <v>0</v>
      </c>
      <c r="D807" s="32" t="str">
        <f>IF('Importér data'!C818="type",'Importér data'!N818,"")</f>
        <v/>
      </c>
      <c r="E807" s="24"/>
      <c r="F807" s="45"/>
      <c r="G807" s="45"/>
      <c r="H807" s="24"/>
      <c r="I807" s="25" t="str">
        <f>IFERROR(($D807/50-_xlfn.XLOOKUP($E807,$O$35:$O$43,$T$35:$T$43)*F807)/$P$9,"")</f>
        <v/>
      </c>
      <c r="J807" s="25" t="str">
        <f>IFERROR(_xlfn.XLOOKUP($E807,$O$35:$O$43,$T$35:$T$43)*G807/$P$9,"")</f>
        <v/>
      </c>
      <c r="K807" s="25" t="str">
        <f>IF(E807=$O$43,($D807/50-$T$43*$P$9)/$P$9,"")</f>
        <v/>
      </c>
      <c r="L807" s="25" t="str">
        <f>IFERROR(($D807/50-_xlfn.XLOOKUP($H807,$O$48:$O$62,$T$48:$T$62)*$P$14)/$P$9,"")</f>
        <v/>
      </c>
      <c r="M807" s="14">
        <f t="shared" si="12"/>
        <v>0</v>
      </c>
    </row>
    <row r="808" spans="2:13" x14ac:dyDescent="0.25">
      <c r="B808" s="10" t="str">
        <f>IF('Importér data'!C819="type",'Importér data'!F819,"")</f>
        <v/>
      </c>
      <c r="C808" s="10">
        <f>'Importér data'!H819</f>
        <v>0</v>
      </c>
      <c r="D808" s="32" t="str">
        <f>IF('Importér data'!C819="type",'Importér data'!N819,"")</f>
        <v/>
      </c>
      <c r="E808" s="24"/>
      <c r="F808" s="45"/>
      <c r="G808" s="45"/>
      <c r="H808" s="24"/>
      <c r="I808" s="25" t="str">
        <f>IFERROR(($D808/50-_xlfn.XLOOKUP($E808,$O$35:$O$43,$T$35:$T$43)*F808)/$P$9,"")</f>
        <v/>
      </c>
      <c r="J808" s="25" t="str">
        <f>IFERROR(_xlfn.XLOOKUP($E808,$O$35:$O$43,$T$35:$T$43)*G808/$P$9,"")</f>
        <v/>
      </c>
      <c r="K808" s="25" t="str">
        <f>IF(E808=$O$43,($D808/50-$T$43*$P$9)/$P$9,"")</f>
        <v/>
      </c>
      <c r="L808" s="25" t="str">
        <f>IFERROR(($D808/50-_xlfn.XLOOKUP($H808,$O$48:$O$62,$T$48:$T$62)*$P$14)/$P$9,"")</f>
        <v/>
      </c>
      <c r="M808" s="14">
        <f t="shared" si="12"/>
        <v>0</v>
      </c>
    </row>
    <row r="809" spans="2:13" x14ac:dyDescent="0.25">
      <c r="B809" s="10" t="str">
        <f>IF('Importér data'!C820="type",'Importér data'!F820,"")</f>
        <v/>
      </c>
      <c r="C809" s="10">
        <f>'Importér data'!H820</f>
        <v>0</v>
      </c>
      <c r="D809" s="32" t="str">
        <f>IF('Importér data'!C820="type",'Importér data'!N820,"")</f>
        <v/>
      </c>
      <c r="E809" s="24"/>
      <c r="F809" s="45"/>
      <c r="G809" s="45"/>
      <c r="H809" s="24"/>
      <c r="I809" s="25" t="str">
        <f>IFERROR(($D809/50-_xlfn.XLOOKUP($E809,$O$35:$O$43,$T$35:$T$43)*F809)/$P$9,"")</f>
        <v/>
      </c>
      <c r="J809" s="25" t="str">
        <f>IFERROR(_xlfn.XLOOKUP($E809,$O$35:$O$43,$T$35:$T$43)*G809/$P$9,"")</f>
        <v/>
      </c>
      <c r="K809" s="25" t="str">
        <f>IF(E809=$O$43,($D809/50-$T$43*$P$9)/$P$9,"")</f>
        <v/>
      </c>
      <c r="L809" s="25" t="str">
        <f>IFERROR(($D809/50-_xlfn.XLOOKUP($H809,$O$48:$O$62,$T$48:$T$62)*$P$14)/$P$9,"")</f>
        <v/>
      </c>
      <c r="M809" s="14">
        <f t="shared" si="12"/>
        <v>0</v>
      </c>
    </row>
    <row r="810" spans="2:13" x14ac:dyDescent="0.25">
      <c r="B810" s="10" t="str">
        <f>IF('Importér data'!C821="type",'Importér data'!F821,"")</f>
        <v/>
      </c>
      <c r="C810" s="10">
        <f>'Importér data'!H821</f>
        <v>0</v>
      </c>
      <c r="D810" s="32" t="str">
        <f>IF('Importér data'!C821="type",'Importér data'!N821,"")</f>
        <v/>
      </c>
      <c r="E810" s="24"/>
      <c r="F810" s="45"/>
      <c r="G810" s="45"/>
      <c r="H810" s="24"/>
      <c r="I810" s="25" t="str">
        <f>IFERROR(($D810/50-_xlfn.XLOOKUP($E810,$O$35:$O$43,$T$35:$T$43)*F810)/$P$9,"")</f>
        <v/>
      </c>
      <c r="J810" s="25" t="str">
        <f>IFERROR(_xlfn.XLOOKUP($E810,$O$35:$O$43,$T$35:$T$43)*G810/$P$9,"")</f>
        <v/>
      </c>
      <c r="K810" s="25" t="str">
        <f>IF(E810=$O$43,($D810/50-$T$43*$P$9)/$P$9,"")</f>
        <v/>
      </c>
      <c r="L810" s="25" t="str">
        <f>IFERROR(($D810/50-_xlfn.XLOOKUP($H810,$O$48:$O$62,$T$48:$T$62)*$P$14)/$P$9,"")</f>
        <v/>
      </c>
      <c r="M810" s="14">
        <f t="shared" si="12"/>
        <v>0</v>
      </c>
    </row>
    <row r="811" spans="2:13" x14ac:dyDescent="0.25">
      <c r="B811" s="10" t="str">
        <f>IF('Importér data'!C822="type",'Importér data'!F822,"")</f>
        <v/>
      </c>
      <c r="C811" s="10">
        <f>'Importér data'!H822</f>
        <v>0</v>
      </c>
      <c r="D811" s="32" t="str">
        <f>IF('Importér data'!C822="type",'Importér data'!N822,"")</f>
        <v/>
      </c>
      <c r="E811" s="24"/>
      <c r="F811" s="45"/>
      <c r="G811" s="45"/>
      <c r="H811" s="24"/>
      <c r="I811" s="25" t="str">
        <f>IFERROR(($D811/50-_xlfn.XLOOKUP($E811,$O$35:$O$43,$T$35:$T$43)*F811)/$P$9,"")</f>
        <v/>
      </c>
      <c r="J811" s="25" t="str">
        <f>IFERROR(_xlfn.XLOOKUP($E811,$O$35:$O$43,$T$35:$T$43)*G811/$P$9,"")</f>
        <v/>
      </c>
      <c r="K811" s="25" t="str">
        <f>IF(E811=$O$43,($D811/50-$T$43*$P$9)/$P$9,"")</f>
        <v/>
      </c>
      <c r="L811" s="25" t="str">
        <f>IFERROR(($D811/50-_xlfn.XLOOKUP($H811,$O$48:$O$62,$T$48:$T$62)*$P$14)/$P$9,"")</f>
        <v/>
      </c>
      <c r="M811" s="14">
        <f t="shared" si="12"/>
        <v>0</v>
      </c>
    </row>
    <row r="812" spans="2:13" x14ac:dyDescent="0.25">
      <c r="B812" s="10" t="str">
        <f>IF('Importér data'!C823="type",'Importér data'!F823,"")</f>
        <v/>
      </c>
      <c r="C812" s="10">
        <f>'Importér data'!H823</f>
        <v>0</v>
      </c>
      <c r="D812" s="32" t="str">
        <f>IF('Importér data'!C823="type",'Importér data'!N823,"")</f>
        <v/>
      </c>
      <c r="E812" s="24"/>
      <c r="F812" s="45"/>
      <c r="G812" s="45"/>
      <c r="H812" s="24"/>
      <c r="I812" s="25" t="str">
        <f>IFERROR(($D812/50-_xlfn.XLOOKUP($E812,$O$35:$O$43,$T$35:$T$43)*F812)/$P$9,"")</f>
        <v/>
      </c>
      <c r="J812" s="25" t="str">
        <f>IFERROR(_xlfn.XLOOKUP($E812,$O$35:$O$43,$T$35:$T$43)*G812/$P$9,"")</f>
        <v/>
      </c>
      <c r="K812" s="25" t="str">
        <f>IF(E812=$O$43,($D812/50-$T$43*$P$9)/$P$9,"")</f>
        <v/>
      </c>
      <c r="L812" s="25" t="str">
        <f>IFERROR(($D812/50-_xlfn.XLOOKUP($H812,$O$48:$O$62,$T$48:$T$62)*$P$14)/$P$9,"")</f>
        <v/>
      </c>
      <c r="M812" s="14">
        <f t="shared" si="12"/>
        <v>0</v>
      </c>
    </row>
    <row r="813" spans="2:13" x14ac:dyDescent="0.25">
      <c r="B813" s="10" t="str">
        <f>IF('Importér data'!C824="type",'Importér data'!F824,"")</f>
        <v/>
      </c>
      <c r="C813" s="10">
        <f>'Importér data'!H824</f>
        <v>0</v>
      </c>
      <c r="D813" s="32" t="str">
        <f>IF('Importér data'!C824="type",'Importér data'!N824,"")</f>
        <v/>
      </c>
      <c r="E813" s="24"/>
      <c r="F813" s="45"/>
      <c r="G813" s="45"/>
      <c r="H813" s="24"/>
      <c r="I813" s="25" t="str">
        <f>IFERROR(($D813/50-_xlfn.XLOOKUP($E813,$O$35:$O$43,$T$35:$T$43)*F813)/$P$9,"")</f>
        <v/>
      </c>
      <c r="J813" s="25" t="str">
        <f>IFERROR(_xlfn.XLOOKUP($E813,$O$35:$O$43,$T$35:$T$43)*G813/$P$9,"")</f>
        <v/>
      </c>
      <c r="K813" s="25" t="str">
        <f>IF(E813=$O$43,($D813/50-$T$43*$P$9)/$P$9,"")</f>
        <v/>
      </c>
      <c r="L813" s="25" t="str">
        <f>IFERROR(($D813/50-_xlfn.XLOOKUP($H813,$O$48:$O$62,$T$48:$T$62)*$P$14)/$P$9,"")</f>
        <v/>
      </c>
      <c r="M813" s="14">
        <f t="shared" si="12"/>
        <v>0</v>
      </c>
    </row>
    <row r="814" spans="2:13" x14ac:dyDescent="0.25">
      <c r="B814" s="10" t="str">
        <f>IF('Importér data'!C825="type",'Importér data'!F825,"")</f>
        <v/>
      </c>
      <c r="C814" s="10">
        <f>'Importér data'!H825</f>
        <v>0</v>
      </c>
      <c r="D814" s="32" t="str">
        <f>IF('Importér data'!C825="type",'Importér data'!N825,"")</f>
        <v/>
      </c>
      <c r="E814" s="24"/>
      <c r="F814" s="45"/>
      <c r="G814" s="45"/>
      <c r="H814" s="24"/>
      <c r="I814" s="25" t="str">
        <f>IFERROR(($D814/50-_xlfn.XLOOKUP($E814,$O$35:$O$43,$T$35:$T$43)*F814)/$P$9,"")</f>
        <v/>
      </c>
      <c r="J814" s="25" t="str">
        <f>IFERROR(_xlfn.XLOOKUP($E814,$O$35:$O$43,$T$35:$T$43)*G814/$P$9,"")</f>
        <v/>
      </c>
      <c r="K814" s="25" t="str">
        <f>IF(E814=$O$43,($D814/50-$T$43*$P$9)/$P$9,"")</f>
        <v/>
      </c>
      <c r="L814" s="25" t="str">
        <f>IFERROR(($D814/50-_xlfn.XLOOKUP($H814,$O$48:$O$62,$T$48:$T$62)*$P$14)/$P$9,"")</f>
        <v/>
      </c>
      <c r="M814" s="14">
        <f t="shared" si="12"/>
        <v>0</v>
      </c>
    </row>
    <row r="815" spans="2:13" x14ac:dyDescent="0.25">
      <c r="B815" s="10" t="str">
        <f>IF('Importér data'!C826="type",'Importér data'!F826,"")</f>
        <v/>
      </c>
      <c r="C815" s="10">
        <f>'Importér data'!H826</f>
        <v>0</v>
      </c>
      <c r="D815" s="32" t="str">
        <f>IF('Importér data'!C826="type",'Importér data'!N826,"")</f>
        <v/>
      </c>
      <c r="E815" s="24"/>
      <c r="F815" s="45"/>
      <c r="G815" s="45"/>
      <c r="H815" s="24"/>
      <c r="I815" s="25" t="str">
        <f>IFERROR(($D815/50-_xlfn.XLOOKUP($E815,$O$35:$O$43,$T$35:$T$43)*F815)/$P$9,"")</f>
        <v/>
      </c>
      <c r="J815" s="25" t="str">
        <f>IFERROR(_xlfn.XLOOKUP($E815,$O$35:$O$43,$T$35:$T$43)*G815/$P$9,"")</f>
        <v/>
      </c>
      <c r="K815" s="25" t="str">
        <f>IF(E815=$O$43,($D815/50-$T$43*$P$9)/$P$9,"")</f>
        <v/>
      </c>
      <c r="L815" s="25" t="str">
        <f>IFERROR(($D815/50-_xlfn.XLOOKUP($H815,$O$48:$O$62,$T$48:$T$62)*$P$14)/$P$9,"")</f>
        <v/>
      </c>
      <c r="M815" s="14">
        <f t="shared" si="12"/>
        <v>0</v>
      </c>
    </row>
    <row r="816" spans="2:13" x14ac:dyDescent="0.25">
      <c r="B816" s="10" t="str">
        <f>IF('Importér data'!C827="type",'Importér data'!F827,"")</f>
        <v/>
      </c>
      <c r="C816" s="10">
        <f>'Importér data'!H827</f>
        <v>0</v>
      </c>
      <c r="D816" s="32" t="str">
        <f>IF('Importér data'!C827="type",'Importér data'!N827,"")</f>
        <v/>
      </c>
      <c r="E816" s="24"/>
      <c r="F816" s="45"/>
      <c r="G816" s="45"/>
      <c r="H816" s="24"/>
      <c r="I816" s="25" t="str">
        <f>IFERROR(($D816/50-_xlfn.XLOOKUP($E816,$O$35:$O$43,$T$35:$T$43)*F816)/$P$9,"")</f>
        <v/>
      </c>
      <c r="J816" s="25" t="str">
        <f>IFERROR(_xlfn.XLOOKUP($E816,$O$35:$O$43,$T$35:$T$43)*G816/$P$9,"")</f>
        <v/>
      </c>
      <c r="K816" s="25" t="str">
        <f>IF(E816=$O$43,($D816/50-$T$43*$P$9)/$P$9,"")</f>
        <v/>
      </c>
      <c r="L816" s="25" t="str">
        <f>IFERROR(($D816/50-_xlfn.XLOOKUP($H816,$O$48:$O$62,$T$48:$T$62)*$P$14)/$P$9,"")</f>
        <v/>
      </c>
      <c r="M816" s="14">
        <f t="shared" si="12"/>
        <v>0</v>
      </c>
    </row>
    <row r="817" spans="2:13" x14ac:dyDescent="0.25">
      <c r="B817" s="10" t="str">
        <f>IF('Importér data'!C828="type",'Importér data'!F828,"")</f>
        <v/>
      </c>
      <c r="C817" s="10">
        <f>'Importér data'!H828</f>
        <v>0</v>
      </c>
      <c r="D817" s="32" t="str">
        <f>IF('Importér data'!C828="type",'Importér data'!N828,"")</f>
        <v/>
      </c>
      <c r="E817" s="24"/>
      <c r="F817" s="45"/>
      <c r="G817" s="45"/>
      <c r="H817" s="24"/>
      <c r="I817" s="25" t="str">
        <f>IFERROR(($D817/50-_xlfn.XLOOKUP($E817,$O$35:$O$43,$T$35:$T$43)*F817)/$P$9,"")</f>
        <v/>
      </c>
      <c r="J817" s="25" t="str">
        <f>IFERROR(_xlfn.XLOOKUP($E817,$O$35:$O$43,$T$35:$T$43)*G817/$P$9,"")</f>
        <v/>
      </c>
      <c r="K817" s="25" t="str">
        <f>IF(E817=$O$43,($D817/50-$T$43*$P$9)/$P$9,"")</f>
        <v/>
      </c>
      <c r="L817" s="25" t="str">
        <f>IFERROR(($D817/50-_xlfn.XLOOKUP($H817,$O$48:$O$62,$T$48:$T$62)*$P$14)/$P$9,"")</f>
        <v/>
      </c>
      <c r="M817" s="14">
        <f t="shared" si="12"/>
        <v>0</v>
      </c>
    </row>
    <row r="818" spans="2:13" x14ac:dyDescent="0.25">
      <c r="B818" s="10" t="str">
        <f>IF('Importér data'!C829="type",'Importér data'!F829,"")</f>
        <v/>
      </c>
      <c r="C818" s="10">
        <f>'Importér data'!H829</f>
        <v>0</v>
      </c>
      <c r="D818" s="32" t="str">
        <f>IF('Importér data'!C829="type",'Importér data'!N829,"")</f>
        <v/>
      </c>
      <c r="E818" s="24"/>
      <c r="F818" s="45"/>
      <c r="G818" s="45"/>
      <c r="H818" s="24"/>
      <c r="I818" s="25" t="str">
        <f>IFERROR(($D818/50-_xlfn.XLOOKUP($E818,$O$35:$O$43,$T$35:$T$43)*F818)/$P$9,"")</f>
        <v/>
      </c>
      <c r="J818" s="25" t="str">
        <f>IFERROR(_xlfn.XLOOKUP($E818,$O$35:$O$43,$T$35:$T$43)*G818/$P$9,"")</f>
        <v/>
      </c>
      <c r="K818" s="25" t="str">
        <f>IF(E818=$O$43,($D818/50-$T$43*$P$9)/$P$9,"")</f>
        <v/>
      </c>
      <c r="L818" s="25" t="str">
        <f>IFERROR(($D818/50-_xlfn.XLOOKUP($H818,$O$48:$O$62,$T$48:$T$62)*$P$14)/$P$9,"")</f>
        <v/>
      </c>
      <c r="M818" s="14">
        <f t="shared" si="12"/>
        <v>0</v>
      </c>
    </row>
    <row r="819" spans="2:13" x14ac:dyDescent="0.25">
      <c r="B819" s="10" t="str">
        <f>IF('Importér data'!C830="type",'Importér data'!F830,"")</f>
        <v/>
      </c>
      <c r="C819" s="10">
        <f>'Importér data'!H830</f>
        <v>0</v>
      </c>
      <c r="D819" s="32" t="str">
        <f>IF('Importér data'!C830="type",'Importér data'!N830,"")</f>
        <v/>
      </c>
      <c r="E819" s="24"/>
      <c r="F819" s="45"/>
      <c r="G819" s="45"/>
      <c r="H819" s="24"/>
      <c r="I819" s="25" t="str">
        <f>IFERROR(($D819/50-_xlfn.XLOOKUP($E819,$O$35:$O$43,$T$35:$T$43)*F819)/$P$9,"")</f>
        <v/>
      </c>
      <c r="J819" s="25" t="str">
        <f>IFERROR(_xlfn.XLOOKUP($E819,$O$35:$O$43,$T$35:$T$43)*G819/$P$9,"")</f>
        <v/>
      </c>
      <c r="K819" s="25" t="str">
        <f>IF(E819=$O$43,($D819/50-$T$43*$P$9)/$P$9,"")</f>
        <v/>
      </c>
      <c r="L819" s="25" t="str">
        <f>IFERROR(($D819/50-_xlfn.XLOOKUP($H819,$O$48:$O$62,$T$48:$T$62)*$P$14)/$P$9,"")</f>
        <v/>
      </c>
      <c r="M819" s="14">
        <f t="shared" si="12"/>
        <v>0</v>
      </c>
    </row>
    <row r="820" spans="2:13" x14ac:dyDescent="0.25">
      <c r="B820" s="10" t="str">
        <f>IF('Importér data'!C831="type",'Importér data'!F831,"")</f>
        <v/>
      </c>
      <c r="C820" s="10">
        <f>'Importér data'!H831</f>
        <v>0</v>
      </c>
      <c r="D820" s="32" t="str">
        <f>IF('Importér data'!C831="type",'Importér data'!N831,"")</f>
        <v/>
      </c>
      <c r="E820" s="24"/>
      <c r="F820" s="45"/>
      <c r="G820" s="45"/>
      <c r="H820" s="24"/>
      <c r="I820" s="25" t="str">
        <f>IFERROR(($D820/50-_xlfn.XLOOKUP($E820,$O$35:$O$43,$T$35:$T$43)*F820)/$P$9,"")</f>
        <v/>
      </c>
      <c r="J820" s="25" t="str">
        <f>IFERROR(_xlfn.XLOOKUP($E820,$O$35:$O$43,$T$35:$T$43)*G820/$P$9,"")</f>
        <v/>
      </c>
      <c r="K820" s="25" t="str">
        <f>IF(E820=$O$43,($D820/50-$T$43*$P$9)/$P$9,"")</f>
        <v/>
      </c>
      <c r="L820" s="25" t="str">
        <f>IFERROR(($D820/50-_xlfn.XLOOKUP($H820,$O$48:$O$62,$T$48:$T$62)*$P$14)/$P$9,"")</f>
        <v/>
      </c>
      <c r="M820" s="14">
        <f t="shared" si="12"/>
        <v>0</v>
      </c>
    </row>
    <row r="821" spans="2:13" x14ac:dyDescent="0.25">
      <c r="B821" s="10" t="str">
        <f>IF('Importér data'!C832="type",'Importér data'!F832,"")</f>
        <v/>
      </c>
      <c r="C821" s="10">
        <f>'Importér data'!H832</f>
        <v>0</v>
      </c>
      <c r="D821" s="32" t="str">
        <f>IF('Importér data'!C832="type",'Importér data'!N832,"")</f>
        <v/>
      </c>
      <c r="E821" s="24"/>
      <c r="F821" s="45"/>
      <c r="G821" s="45"/>
      <c r="H821" s="24"/>
      <c r="I821" s="25" t="str">
        <f>IFERROR(($D821/50-_xlfn.XLOOKUP($E821,$O$35:$O$43,$T$35:$T$43)*F821)/$P$9,"")</f>
        <v/>
      </c>
      <c r="J821" s="25" t="str">
        <f>IFERROR(_xlfn.XLOOKUP($E821,$O$35:$O$43,$T$35:$T$43)*G821/$P$9,"")</f>
        <v/>
      </c>
      <c r="K821" s="25" t="str">
        <f>IF(E821=$O$43,($D821/50-$T$43*$P$9)/$P$9,"")</f>
        <v/>
      </c>
      <c r="L821" s="25" t="str">
        <f>IFERROR(($D821/50-_xlfn.XLOOKUP($H821,$O$48:$O$62,$T$48:$T$62)*$P$14)/$P$9,"")</f>
        <v/>
      </c>
      <c r="M821" s="14">
        <f t="shared" si="12"/>
        <v>0</v>
      </c>
    </row>
    <row r="822" spans="2:13" x14ac:dyDescent="0.25">
      <c r="B822" s="10" t="str">
        <f>IF('Importér data'!C833="type",'Importér data'!F833,"")</f>
        <v/>
      </c>
      <c r="C822" s="10">
        <f>'Importér data'!H833</f>
        <v>0</v>
      </c>
      <c r="D822" s="32" t="str">
        <f>IF('Importér data'!C833="type",'Importér data'!N833,"")</f>
        <v/>
      </c>
      <c r="E822" s="24"/>
      <c r="F822" s="45"/>
      <c r="G822" s="45"/>
      <c r="H822" s="24"/>
      <c r="I822" s="25" t="str">
        <f>IFERROR(($D822/50-_xlfn.XLOOKUP($E822,$O$35:$O$43,$T$35:$T$43)*F822)/$P$9,"")</f>
        <v/>
      </c>
      <c r="J822" s="25" t="str">
        <f>IFERROR(_xlfn.XLOOKUP($E822,$O$35:$O$43,$T$35:$T$43)*G822/$P$9,"")</f>
        <v/>
      </c>
      <c r="K822" s="25" t="str">
        <f>IF(E822=$O$43,($D822/50-$T$43*$P$9)/$P$9,"")</f>
        <v/>
      </c>
      <c r="L822" s="25" t="str">
        <f>IFERROR(($D822/50-_xlfn.XLOOKUP($H822,$O$48:$O$62,$T$48:$T$62)*$P$14)/$P$9,"")</f>
        <v/>
      </c>
      <c r="M822" s="14">
        <f t="shared" si="12"/>
        <v>0</v>
      </c>
    </row>
    <row r="823" spans="2:13" x14ac:dyDescent="0.25">
      <c r="B823" s="10" t="str">
        <f>IF('Importér data'!C834="type",'Importér data'!F834,"")</f>
        <v/>
      </c>
      <c r="C823" s="10">
        <f>'Importér data'!H834</f>
        <v>0</v>
      </c>
      <c r="D823" s="32" t="str">
        <f>IF('Importér data'!C834="type",'Importér data'!N834,"")</f>
        <v/>
      </c>
      <c r="E823" s="24"/>
      <c r="F823" s="45"/>
      <c r="G823" s="45"/>
      <c r="H823" s="24"/>
      <c r="I823" s="25" t="str">
        <f>IFERROR(($D823/50-_xlfn.XLOOKUP($E823,$O$35:$O$43,$T$35:$T$43)*F823)/$P$9,"")</f>
        <v/>
      </c>
      <c r="J823" s="25" t="str">
        <f>IFERROR(_xlfn.XLOOKUP($E823,$O$35:$O$43,$T$35:$T$43)*G823/$P$9,"")</f>
        <v/>
      </c>
      <c r="K823" s="25" t="str">
        <f>IF(E823=$O$43,($D823/50-$T$43*$P$9)/$P$9,"")</f>
        <v/>
      </c>
      <c r="L823" s="25" t="str">
        <f>IFERROR(($D823/50-_xlfn.XLOOKUP($H823,$O$48:$O$62,$T$48:$T$62)*$P$14)/$P$9,"")</f>
        <v/>
      </c>
      <c r="M823" s="14">
        <f t="shared" si="12"/>
        <v>0</v>
      </c>
    </row>
    <row r="824" spans="2:13" x14ac:dyDescent="0.25">
      <c r="B824" s="10" t="str">
        <f>IF('Importér data'!C835="type",'Importér data'!F835,"")</f>
        <v/>
      </c>
      <c r="C824" s="10">
        <f>'Importér data'!H835</f>
        <v>0</v>
      </c>
      <c r="D824" s="32" t="str">
        <f>IF('Importér data'!C835="type",'Importér data'!N835,"")</f>
        <v/>
      </c>
      <c r="E824" s="24"/>
      <c r="F824" s="45"/>
      <c r="G824" s="45"/>
      <c r="H824" s="24"/>
      <c r="I824" s="25" t="str">
        <f>IFERROR(($D824/50-_xlfn.XLOOKUP($E824,$O$35:$O$43,$T$35:$T$43)*F824)/$P$9,"")</f>
        <v/>
      </c>
      <c r="J824" s="25" t="str">
        <f>IFERROR(_xlfn.XLOOKUP($E824,$O$35:$O$43,$T$35:$T$43)*G824/$P$9,"")</f>
        <v/>
      </c>
      <c r="K824" s="25" t="str">
        <f>IF(E824=$O$43,($D824/50-$T$43*$P$9)/$P$9,"")</f>
        <v/>
      </c>
      <c r="L824" s="25" t="str">
        <f>IFERROR(($D824/50-_xlfn.XLOOKUP($H824,$O$48:$O$62,$T$48:$T$62)*$P$14)/$P$9,"")</f>
        <v/>
      </c>
      <c r="M824" s="14">
        <f t="shared" si="12"/>
        <v>0</v>
      </c>
    </row>
    <row r="825" spans="2:13" x14ac:dyDescent="0.25">
      <c r="B825" s="10" t="str">
        <f>IF('Importér data'!C836="type",'Importér data'!F836,"")</f>
        <v/>
      </c>
      <c r="C825" s="10">
        <f>'Importér data'!H836</f>
        <v>0</v>
      </c>
      <c r="D825" s="32" t="str">
        <f>IF('Importér data'!C836="type",'Importér data'!N836,"")</f>
        <v/>
      </c>
      <c r="E825" s="24"/>
      <c r="F825" s="45"/>
      <c r="G825" s="45"/>
      <c r="H825" s="24"/>
      <c r="I825" s="25" t="str">
        <f>IFERROR(($D825/50-_xlfn.XLOOKUP($E825,$O$35:$O$43,$T$35:$T$43)*F825)/$P$9,"")</f>
        <v/>
      </c>
      <c r="J825" s="25" t="str">
        <f>IFERROR(_xlfn.XLOOKUP($E825,$O$35:$O$43,$T$35:$T$43)*G825/$P$9,"")</f>
        <v/>
      </c>
      <c r="K825" s="25" t="str">
        <f>IF(E825=$O$43,($D825/50-$T$43*$P$9)/$P$9,"")</f>
        <v/>
      </c>
      <c r="L825" s="25" t="str">
        <f>IFERROR(($D825/50-_xlfn.XLOOKUP($H825,$O$48:$O$62,$T$48:$T$62)*$P$14)/$P$9,"")</f>
        <v/>
      </c>
      <c r="M825" s="14">
        <f t="shared" si="12"/>
        <v>0</v>
      </c>
    </row>
    <row r="826" spans="2:13" x14ac:dyDescent="0.25">
      <c r="B826" s="10" t="str">
        <f>IF('Importér data'!C837="type",'Importér data'!F837,"")</f>
        <v/>
      </c>
      <c r="C826" s="10">
        <f>'Importér data'!H837</f>
        <v>0</v>
      </c>
      <c r="D826" s="32" t="str">
        <f>IF('Importér data'!C837="type",'Importér data'!N837,"")</f>
        <v/>
      </c>
      <c r="E826" s="24"/>
      <c r="F826" s="45"/>
      <c r="G826" s="45"/>
      <c r="H826" s="24"/>
      <c r="I826" s="25" t="str">
        <f>IFERROR(($D826/50-_xlfn.XLOOKUP($E826,$O$35:$O$43,$T$35:$T$43)*F826)/$P$9,"")</f>
        <v/>
      </c>
      <c r="J826" s="25" t="str">
        <f>IFERROR(_xlfn.XLOOKUP($E826,$O$35:$O$43,$T$35:$T$43)*G826/$P$9,"")</f>
        <v/>
      </c>
      <c r="K826" s="25" t="str">
        <f>IF(E826=$O$43,($D826/50-$T$43*$P$9)/$P$9,"")</f>
        <v/>
      </c>
      <c r="L826" s="25" t="str">
        <f>IFERROR(($D826/50-_xlfn.XLOOKUP($H826,$O$48:$O$62,$T$48:$T$62)*$P$14)/$P$9,"")</f>
        <v/>
      </c>
      <c r="M826" s="14">
        <f t="shared" si="12"/>
        <v>0</v>
      </c>
    </row>
    <row r="827" spans="2:13" x14ac:dyDescent="0.25">
      <c r="B827" s="10" t="str">
        <f>IF('Importér data'!C838="type",'Importér data'!F838,"")</f>
        <v/>
      </c>
      <c r="C827" s="10">
        <f>'Importér data'!H838</f>
        <v>0</v>
      </c>
      <c r="D827" s="32" t="str">
        <f>IF('Importér data'!C838="type",'Importér data'!N838,"")</f>
        <v/>
      </c>
      <c r="E827" s="24"/>
      <c r="F827" s="45"/>
      <c r="G827" s="45"/>
      <c r="H827" s="24"/>
      <c r="I827" s="25" t="str">
        <f>IFERROR(($D827/50-_xlfn.XLOOKUP($E827,$O$35:$O$43,$T$35:$T$43)*F827)/$P$9,"")</f>
        <v/>
      </c>
      <c r="J827" s="25" t="str">
        <f>IFERROR(_xlfn.XLOOKUP($E827,$O$35:$O$43,$T$35:$T$43)*G827/$P$9,"")</f>
        <v/>
      </c>
      <c r="K827" s="25" t="str">
        <f>IF(E827=$O$43,($D827/50-$T$43*$P$9)/$P$9,"")</f>
        <v/>
      </c>
      <c r="L827" s="25" t="str">
        <f>IFERROR(($D827/50-_xlfn.XLOOKUP($H827,$O$48:$O$62,$T$48:$T$62)*$P$14)/$P$9,"")</f>
        <v/>
      </c>
      <c r="M827" s="14">
        <f t="shared" si="12"/>
        <v>0</v>
      </c>
    </row>
    <row r="828" spans="2:13" x14ac:dyDescent="0.25">
      <c r="B828" s="10" t="str">
        <f>IF('Importér data'!C839="type",'Importér data'!F839,"")</f>
        <v/>
      </c>
      <c r="C828" s="10">
        <f>'Importér data'!H839</f>
        <v>0</v>
      </c>
      <c r="D828" s="32" t="str">
        <f>IF('Importér data'!C839="type",'Importér data'!N839,"")</f>
        <v/>
      </c>
      <c r="E828" s="24"/>
      <c r="F828" s="45"/>
      <c r="G828" s="45"/>
      <c r="H828" s="24"/>
      <c r="I828" s="25" t="str">
        <f>IFERROR(($D828/50-_xlfn.XLOOKUP($E828,$O$35:$O$43,$T$35:$T$43)*F828)/$P$9,"")</f>
        <v/>
      </c>
      <c r="J828" s="25" t="str">
        <f>IFERROR(_xlfn.XLOOKUP($E828,$O$35:$O$43,$T$35:$T$43)*G828/$P$9,"")</f>
        <v/>
      </c>
      <c r="K828" s="25" t="str">
        <f>IF(E828=$O$43,($D828/50-$T$43*$P$9)/$P$9,"")</f>
        <v/>
      </c>
      <c r="L828" s="25" t="str">
        <f>IFERROR(($D828/50-_xlfn.XLOOKUP($H828,$O$48:$O$62,$T$48:$T$62)*$P$14)/$P$9,"")</f>
        <v/>
      </c>
      <c r="M828" s="14">
        <f t="shared" si="12"/>
        <v>0</v>
      </c>
    </row>
    <row r="829" spans="2:13" x14ac:dyDescent="0.25">
      <c r="B829" s="10" t="str">
        <f>IF('Importér data'!C840="type",'Importér data'!F840,"")</f>
        <v/>
      </c>
      <c r="C829" s="10">
        <f>'Importér data'!H840</f>
        <v>0</v>
      </c>
      <c r="D829" s="32" t="str">
        <f>IF('Importér data'!C840="type",'Importér data'!N840,"")</f>
        <v/>
      </c>
      <c r="E829" s="24"/>
      <c r="F829" s="45"/>
      <c r="G829" s="45"/>
      <c r="H829" s="24"/>
      <c r="I829" s="25" t="str">
        <f>IFERROR(($D829/50-_xlfn.XLOOKUP($E829,$O$35:$O$43,$T$35:$T$43)*F829)/$P$9,"")</f>
        <v/>
      </c>
      <c r="J829" s="25" t="str">
        <f>IFERROR(_xlfn.XLOOKUP($E829,$O$35:$O$43,$T$35:$T$43)*G829/$P$9,"")</f>
        <v/>
      </c>
      <c r="K829" s="25" t="str">
        <f>IF(E829=$O$43,($D829/50-$T$43*$P$9)/$P$9,"")</f>
        <v/>
      </c>
      <c r="L829" s="25" t="str">
        <f>IFERROR(($D829/50-_xlfn.XLOOKUP($H829,$O$48:$O$62,$T$48:$T$62)*$P$14)/$P$9,"")</f>
        <v/>
      </c>
      <c r="M829" s="14">
        <f t="shared" si="12"/>
        <v>0</v>
      </c>
    </row>
    <row r="830" spans="2:13" x14ac:dyDescent="0.25">
      <c r="B830" s="10" t="str">
        <f>IF('Importér data'!C841="type",'Importér data'!F841,"")</f>
        <v/>
      </c>
      <c r="C830" s="10">
        <f>'Importér data'!H841</f>
        <v>0</v>
      </c>
      <c r="D830" s="32" t="str">
        <f>IF('Importér data'!C841="type",'Importér data'!N841,"")</f>
        <v/>
      </c>
      <c r="E830" s="24"/>
      <c r="F830" s="45"/>
      <c r="G830" s="45"/>
      <c r="H830" s="24"/>
      <c r="I830" s="25" t="str">
        <f>IFERROR(($D830/50-_xlfn.XLOOKUP($E830,$O$35:$O$43,$T$35:$T$43)*F830)/$P$9,"")</f>
        <v/>
      </c>
      <c r="J830" s="25" t="str">
        <f>IFERROR(_xlfn.XLOOKUP($E830,$O$35:$O$43,$T$35:$T$43)*G830/$P$9,"")</f>
        <v/>
      </c>
      <c r="K830" s="25" t="str">
        <f>IF(E830=$O$43,($D830/50-$T$43*$P$9)/$P$9,"")</f>
        <v/>
      </c>
      <c r="L830" s="25" t="str">
        <f>IFERROR(($D830/50-_xlfn.XLOOKUP($H830,$O$48:$O$62,$T$48:$T$62)*$P$14)/$P$9,"")</f>
        <v/>
      </c>
      <c r="M830" s="14">
        <f t="shared" si="12"/>
        <v>0</v>
      </c>
    </row>
    <row r="831" spans="2:13" x14ac:dyDescent="0.25">
      <c r="B831" s="10" t="str">
        <f>IF('Importér data'!C842="type",'Importér data'!F842,"")</f>
        <v/>
      </c>
      <c r="C831" s="10">
        <f>'Importér data'!H842</f>
        <v>0</v>
      </c>
      <c r="D831" s="32" t="str">
        <f>IF('Importér data'!C842="type",'Importér data'!N842,"")</f>
        <v/>
      </c>
      <c r="E831" s="24"/>
      <c r="F831" s="45"/>
      <c r="G831" s="45"/>
      <c r="H831" s="24"/>
      <c r="I831" s="25" t="str">
        <f>IFERROR(($D831/50-_xlfn.XLOOKUP($E831,$O$35:$O$43,$T$35:$T$43)*F831)/$P$9,"")</f>
        <v/>
      </c>
      <c r="J831" s="25" t="str">
        <f>IFERROR(_xlfn.XLOOKUP($E831,$O$35:$O$43,$T$35:$T$43)*G831/$P$9,"")</f>
        <v/>
      </c>
      <c r="K831" s="25" t="str">
        <f>IF(E831=$O$43,($D831/50-$T$43*$P$9)/$P$9,"")</f>
        <v/>
      </c>
      <c r="L831" s="25" t="str">
        <f>IFERROR(($D831/50-_xlfn.XLOOKUP($H831,$O$48:$O$62,$T$48:$T$62)*$P$14)/$P$9,"")</f>
        <v/>
      </c>
      <c r="M831" s="14">
        <f t="shared" si="12"/>
        <v>0</v>
      </c>
    </row>
    <row r="832" spans="2:13" x14ac:dyDescent="0.25">
      <c r="B832" s="10" t="str">
        <f>IF('Importér data'!C843="type",'Importér data'!F843,"")</f>
        <v/>
      </c>
      <c r="C832" s="10">
        <f>'Importér data'!H843</f>
        <v>0</v>
      </c>
      <c r="D832" s="32" t="str">
        <f>IF('Importér data'!C843="type",'Importér data'!N843,"")</f>
        <v/>
      </c>
      <c r="E832" s="24"/>
      <c r="F832" s="45"/>
      <c r="G832" s="45"/>
      <c r="H832" s="24"/>
      <c r="I832" s="25" t="str">
        <f>IFERROR(($D832/50-_xlfn.XLOOKUP($E832,$O$35:$O$43,$T$35:$T$43)*F832)/$P$9,"")</f>
        <v/>
      </c>
      <c r="J832" s="25" t="str">
        <f>IFERROR(_xlfn.XLOOKUP($E832,$O$35:$O$43,$T$35:$T$43)*G832/$P$9,"")</f>
        <v/>
      </c>
      <c r="K832" s="25" t="str">
        <f>IF(E832=$O$43,($D832/50-$T$43*$P$9)/$P$9,"")</f>
        <v/>
      </c>
      <c r="L832" s="25" t="str">
        <f>IFERROR(($D832/50-_xlfn.XLOOKUP($H832,$O$48:$O$62,$T$48:$T$62)*$P$14)/$P$9,"")</f>
        <v/>
      </c>
      <c r="M832" s="14">
        <f t="shared" si="12"/>
        <v>0</v>
      </c>
    </row>
    <row r="833" spans="2:13" x14ac:dyDescent="0.25">
      <c r="B833" s="10" t="str">
        <f>IF('Importér data'!C844="type",'Importér data'!F844,"")</f>
        <v/>
      </c>
      <c r="C833" s="10">
        <f>'Importér data'!H844</f>
        <v>0</v>
      </c>
      <c r="D833" s="32" t="str">
        <f>IF('Importér data'!C844="type",'Importér data'!N844,"")</f>
        <v/>
      </c>
      <c r="E833" s="24"/>
      <c r="F833" s="45"/>
      <c r="G833" s="45"/>
      <c r="H833" s="24"/>
      <c r="I833" s="25" t="str">
        <f>IFERROR(($D833/50-_xlfn.XLOOKUP($E833,$O$35:$O$43,$T$35:$T$43)*F833)/$P$9,"")</f>
        <v/>
      </c>
      <c r="J833" s="25" t="str">
        <f>IFERROR(_xlfn.XLOOKUP($E833,$O$35:$O$43,$T$35:$T$43)*G833/$P$9,"")</f>
        <v/>
      </c>
      <c r="K833" s="25" t="str">
        <f>IF(E833=$O$43,($D833/50-$T$43*$P$9)/$P$9,"")</f>
        <v/>
      </c>
      <c r="L833" s="25" t="str">
        <f>IFERROR(($D833/50-_xlfn.XLOOKUP($H833,$O$48:$O$62,$T$48:$T$62)*$P$14)/$P$9,"")</f>
        <v/>
      </c>
      <c r="M833" s="14">
        <f t="shared" si="12"/>
        <v>0</v>
      </c>
    </row>
    <row r="834" spans="2:13" x14ac:dyDescent="0.25">
      <c r="B834" s="10" t="str">
        <f>IF('Importér data'!C845="type",'Importér data'!F845,"")</f>
        <v/>
      </c>
      <c r="C834" s="10">
        <f>'Importér data'!H845</f>
        <v>0</v>
      </c>
      <c r="D834" s="32" t="str">
        <f>IF('Importér data'!C845="type",'Importér data'!N845,"")</f>
        <v/>
      </c>
      <c r="E834" s="24"/>
      <c r="F834" s="45"/>
      <c r="G834" s="45"/>
      <c r="H834" s="24"/>
      <c r="I834" s="25" t="str">
        <f>IFERROR(($D834/50-_xlfn.XLOOKUP($E834,$O$35:$O$43,$T$35:$T$43)*F834)/$P$9,"")</f>
        <v/>
      </c>
      <c r="J834" s="25" t="str">
        <f>IFERROR(_xlfn.XLOOKUP($E834,$O$35:$O$43,$T$35:$T$43)*G834/$P$9,"")</f>
        <v/>
      </c>
      <c r="K834" s="25" t="str">
        <f>IF(E834=$O$43,($D834/50-$T$43*$P$9)/$P$9,"")</f>
        <v/>
      </c>
      <c r="L834" s="25" t="str">
        <f>IFERROR(($D834/50-_xlfn.XLOOKUP($H834,$O$48:$O$62,$T$48:$T$62)*$P$14)/$P$9,"")</f>
        <v/>
      </c>
      <c r="M834" s="14">
        <f t="shared" si="12"/>
        <v>0</v>
      </c>
    </row>
    <row r="835" spans="2:13" x14ac:dyDescent="0.25">
      <c r="B835" s="10" t="str">
        <f>IF('Importér data'!C846="type",'Importér data'!F846,"")</f>
        <v/>
      </c>
      <c r="C835" s="10">
        <f>'Importér data'!H846</f>
        <v>0</v>
      </c>
      <c r="D835" s="32" t="str">
        <f>IF('Importér data'!C846="type",'Importér data'!N846,"")</f>
        <v/>
      </c>
      <c r="E835" s="24"/>
      <c r="F835" s="45"/>
      <c r="G835" s="45"/>
      <c r="H835" s="24"/>
      <c r="I835" s="25" t="str">
        <f>IFERROR(($D835/50-_xlfn.XLOOKUP($E835,$O$35:$O$43,$T$35:$T$43)*F835)/$P$9,"")</f>
        <v/>
      </c>
      <c r="J835" s="25" t="str">
        <f>IFERROR(_xlfn.XLOOKUP($E835,$O$35:$O$43,$T$35:$T$43)*G835/$P$9,"")</f>
        <v/>
      </c>
      <c r="K835" s="25" t="str">
        <f>IF(E835=$O$43,($D835/50-$T$43*$P$9)/$P$9,"")</f>
        <v/>
      </c>
      <c r="L835" s="25" t="str">
        <f>IFERROR(($D835/50-_xlfn.XLOOKUP($H835,$O$48:$O$62,$T$48:$T$62)*$P$14)/$P$9,"")</f>
        <v/>
      </c>
      <c r="M835" s="14">
        <f t="shared" si="12"/>
        <v>0</v>
      </c>
    </row>
    <row r="836" spans="2:13" x14ac:dyDescent="0.25">
      <c r="B836" s="10" t="str">
        <f>IF('Importér data'!C847="type",'Importér data'!F847,"")</f>
        <v/>
      </c>
      <c r="C836" s="10">
        <f>'Importér data'!H847</f>
        <v>0</v>
      </c>
      <c r="D836" s="32" t="str">
        <f>IF('Importér data'!C847="type",'Importér data'!N847,"")</f>
        <v/>
      </c>
      <c r="E836" s="24"/>
      <c r="F836" s="45"/>
      <c r="G836" s="45"/>
      <c r="H836" s="24"/>
      <c r="I836" s="25" t="str">
        <f>IFERROR(($D836/50-_xlfn.XLOOKUP($E836,$O$35:$O$43,$T$35:$T$43)*F836)/$P$9,"")</f>
        <v/>
      </c>
      <c r="J836" s="25" t="str">
        <f>IFERROR(_xlfn.XLOOKUP($E836,$O$35:$O$43,$T$35:$T$43)*G836/$P$9,"")</f>
        <v/>
      </c>
      <c r="K836" s="25" t="str">
        <f>IF(E836=$O$43,($D836/50-$T$43*$P$9)/$P$9,"")</f>
        <v/>
      </c>
      <c r="L836" s="25" t="str">
        <f>IFERROR(($D836/50-_xlfn.XLOOKUP($H836,$O$48:$O$62,$T$48:$T$62)*$P$14)/$P$9,"")</f>
        <v/>
      </c>
      <c r="M836" s="14">
        <f t="shared" si="12"/>
        <v>0</v>
      </c>
    </row>
    <row r="837" spans="2:13" x14ac:dyDescent="0.25">
      <c r="B837" s="10" t="str">
        <f>IF('Importér data'!C848="type",'Importér data'!F848,"")</f>
        <v/>
      </c>
      <c r="C837" s="10">
        <f>'Importér data'!H848</f>
        <v>0</v>
      </c>
      <c r="D837" s="32" t="str">
        <f>IF('Importér data'!C848="type",'Importér data'!N848,"")</f>
        <v/>
      </c>
      <c r="E837" s="24"/>
      <c r="F837" s="45"/>
      <c r="G837" s="45"/>
      <c r="H837" s="24"/>
      <c r="I837" s="25" t="str">
        <f>IFERROR(($D837/50-_xlfn.XLOOKUP($E837,$O$35:$O$43,$T$35:$T$43)*F837)/$P$9,"")</f>
        <v/>
      </c>
      <c r="J837" s="25" t="str">
        <f>IFERROR(_xlfn.XLOOKUP($E837,$O$35:$O$43,$T$35:$T$43)*G837/$P$9,"")</f>
        <v/>
      </c>
      <c r="K837" s="25" t="str">
        <f>IF(E837=$O$43,($D837/50-$T$43*$P$9)/$P$9,"")</f>
        <v/>
      </c>
      <c r="L837" s="25" t="str">
        <f>IFERROR(($D837/50-_xlfn.XLOOKUP($H837,$O$48:$O$62,$T$48:$T$62)*$P$14)/$P$9,"")</f>
        <v/>
      </c>
      <c r="M837" s="14">
        <f t="shared" si="12"/>
        <v>0</v>
      </c>
    </row>
    <row r="838" spans="2:13" x14ac:dyDescent="0.25">
      <c r="B838" s="10" t="str">
        <f>IF('Importér data'!C849="type",'Importér data'!F849,"")</f>
        <v/>
      </c>
      <c r="C838" s="10">
        <f>'Importér data'!H849</f>
        <v>0</v>
      </c>
      <c r="D838" s="32" t="str">
        <f>IF('Importér data'!C849="type",'Importér data'!N849,"")</f>
        <v/>
      </c>
      <c r="E838" s="24"/>
      <c r="F838" s="45"/>
      <c r="G838" s="45"/>
      <c r="H838" s="24"/>
      <c r="I838" s="25" t="str">
        <f>IFERROR(($D838/50-_xlfn.XLOOKUP($E838,$O$35:$O$43,$T$35:$T$43)*F838)/$P$9,"")</f>
        <v/>
      </c>
      <c r="J838" s="25" t="str">
        <f>IFERROR(_xlfn.XLOOKUP($E838,$O$35:$O$43,$T$35:$T$43)*G838/$P$9,"")</f>
        <v/>
      </c>
      <c r="K838" s="25" t="str">
        <f>IF(E838=$O$43,($D838/50-$T$43*$P$9)/$P$9,"")</f>
        <v/>
      </c>
      <c r="L838" s="25" t="str">
        <f>IFERROR(($D838/50-_xlfn.XLOOKUP($H838,$O$48:$O$62,$T$48:$T$62)*$P$14)/$P$9,"")</f>
        <v/>
      </c>
      <c r="M838" s="14">
        <f t="shared" ref="M838:M901" si="13">SUM(I838:L838)</f>
        <v>0</v>
      </c>
    </row>
    <row r="839" spans="2:13" x14ac:dyDescent="0.25">
      <c r="B839" s="10" t="str">
        <f>IF('Importér data'!C850="type",'Importér data'!F850,"")</f>
        <v/>
      </c>
      <c r="C839" s="10">
        <f>'Importér data'!H850</f>
        <v>0</v>
      </c>
      <c r="D839" s="32" t="str">
        <f>IF('Importér data'!C850="type",'Importér data'!N850,"")</f>
        <v/>
      </c>
      <c r="E839" s="24"/>
      <c r="F839" s="45"/>
      <c r="G839" s="45"/>
      <c r="H839" s="24"/>
      <c r="I839" s="25" t="str">
        <f>IFERROR(($D839/50-_xlfn.XLOOKUP($E839,$O$35:$O$43,$T$35:$T$43)*F839)/$P$9,"")</f>
        <v/>
      </c>
      <c r="J839" s="25" t="str">
        <f>IFERROR(_xlfn.XLOOKUP($E839,$O$35:$O$43,$T$35:$T$43)*G839/$P$9,"")</f>
        <v/>
      </c>
      <c r="K839" s="25" t="str">
        <f>IF(E839=$O$43,($D839/50-$T$43*$P$9)/$P$9,"")</f>
        <v/>
      </c>
      <c r="L839" s="25" t="str">
        <f>IFERROR(($D839/50-_xlfn.XLOOKUP($H839,$O$48:$O$62,$T$48:$T$62)*$P$14)/$P$9,"")</f>
        <v/>
      </c>
      <c r="M839" s="14">
        <f t="shared" si="13"/>
        <v>0</v>
      </c>
    </row>
    <row r="840" spans="2:13" x14ac:dyDescent="0.25">
      <c r="B840" s="10" t="str">
        <f>IF('Importér data'!C851="type",'Importér data'!F851,"")</f>
        <v/>
      </c>
      <c r="C840" s="10">
        <f>'Importér data'!H851</f>
        <v>0</v>
      </c>
      <c r="D840" s="32" t="str">
        <f>IF('Importér data'!C851="type",'Importér data'!N851,"")</f>
        <v/>
      </c>
      <c r="E840" s="24"/>
      <c r="F840" s="45"/>
      <c r="G840" s="45"/>
      <c r="H840" s="24"/>
      <c r="I840" s="25" t="str">
        <f>IFERROR(($D840/50-_xlfn.XLOOKUP($E840,$O$35:$O$43,$T$35:$T$43)*F840)/$P$9,"")</f>
        <v/>
      </c>
      <c r="J840" s="25" t="str">
        <f>IFERROR(_xlfn.XLOOKUP($E840,$O$35:$O$43,$T$35:$T$43)*G840/$P$9,"")</f>
        <v/>
      </c>
      <c r="K840" s="25" t="str">
        <f>IF(E840=$O$43,($D840/50-$T$43*$P$9)/$P$9,"")</f>
        <v/>
      </c>
      <c r="L840" s="25" t="str">
        <f>IFERROR(($D840/50-_xlfn.XLOOKUP($H840,$O$48:$O$62,$T$48:$T$62)*$P$14)/$P$9,"")</f>
        <v/>
      </c>
      <c r="M840" s="14">
        <f t="shared" si="13"/>
        <v>0</v>
      </c>
    </row>
    <row r="841" spans="2:13" x14ac:dyDescent="0.25">
      <c r="B841" s="10" t="str">
        <f>IF('Importér data'!C852="type",'Importér data'!F852,"")</f>
        <v/>
      </c>
      <c r="C841" s="10">
        <f>'Importér data'!H852</f>
        <v>0</v>
      </c>
      <c r="D841" s="32" t="str">
        <f>IF('Importér data'!C852="type",'Importér data'!N852,"")</f>
        <v/>
      </c>
      <c r="E841" s="24"/>
      <c r="F841" s="45"/>
      <c r="G841" s="45"/>
      <c r="H841" s="24"/>
      <c r="I841" s="25" t="str">
        <f>IFERROR(($D841/50-_xlfn.XLOOKUP($E841,$O$35:$O$43,$T$35:$T$43)*F841)/$P$9,"")</f>
        <v/>
      </c>
      <c r="J841" s="25" t="str">
        <f>IFERROR(_xlfn.XLOOKUP($E841,$O$35:$O$43,$T$35:$T$43)*G841/$P$9,"")</f>
        <v/>
      </c>
      <c r="K841" s="25" t="str">
        <f>IF(E841=$O$43,($D841/50-$T$43*$P$9)/$P$9,"")</f>
        <v/>
      </c>
      <c r="L841" s="25" t="str">
        <f>IFERROR(($D841/50-_xlfn.XLOOKUP($H841,$O$48:$O$62,$T$48:$T$62)*$P$14)/$P$9,"")</f>
        <v/>
      </c>
      <c r="M841" s="14">
        <f t="shared" si="13"/>
        <v>0</v>
      </c>
    </row>
    <row r="842" spans="2:13" x14ac:dyDescent="0.25">
      <c r="B842" s="10" t="str">
        <f>IF('Importér data'!C853="type",'Importér data'!F853,"")</f>
        <v/>
      </c>
      <c r="C842" s="10">
        <f>'Importér data'!H853</f>
        <v>0</v>
      </c>
      <c r="D842" s="32" t="str">
        <f>IF('Importér data'!C853="type",'Importér data'!N853,"")</f>
        <v/>
      </c>
      <c r="E842" s="24"/>
      <c r="F842" s="45"/>
      <c r="G842" s="45"/>
      <c r="H842" s="24"/>
      <c r="I842" s="25" t="str">
        <f>IFERROR(($D842/50-_xlfn.XLOOKUP($E842,$O$35:$O$43,$T$35:$T$43)*F842)/$P$9,"")</f>
        <v/>
      </c>
      <c r="J842" s="25" t="str">
        <f>IFERROR(_xlfn.XLOOKUP($E842,$O$35:$O$43,$T$35:$T$43)*G842/$P$9,"")</f>
        <v/>
      </c>
      <c r="K842" s="25" t="str">
        <f>IF(E842=$O$43,($D842/50-$T$43*$P$9)/$P$9,"")</f>
        <v/>
      </c>
      <c r="L842" s="25" t="str">
        <f>IFERROR(($D842/50-_xlfn.XLOOKUP($H842,$O$48:$O$62,$T$48:$T$62)*$P$14)/$P$9,"")</f>
        <v/>
      </c>
      <c r="M842" s="14">
        <f t="shared" si="13"/>
        <v>0</v>
      </c>
    </row>
    <row r="843" spans="2:13" x14ac:dyDescent="0.25">
      <c r="B843" s="10" t="str">
        <f>IF('Importér data'!C854="type",'Importér data'!F854,"")</f>
        <v/>
      </c>
      <c r="C843" s="10">
        <f>'Importér data'!H854</f>
        <v>0</v>
      </c>
      <c r="D843" s="32" t="str">
        <f>IF('Importér data'!C854="type",'Importér data'!N854,"")</f>
        <v/>
      </c>
      <c r="E843" s="24"/>
      <c r="F843" s="45"/>
      <c r="G843" s="45"/>
      <c r="H843" s="24"/>
      <c r="I843" s="25" t="str">
        <f>IFERROR(($D843/50-_xlfn.XLOOKUP($E843,$O$35:$O$43,$T$35:$T$43)*F843)/$P$9,"")</f>
        <v/>
      </c>
      <c r="J843" s="25" t="str">
        <f>IFERROR(_xlfn.XLOOKUP($E843,$O$35:$O$43,$T$35:$T$43)*G843/$P$9,"")</f>
        <v/>
      </c>
      <c r="K843" s="25" t="str">
        <f>IF(E843=$O$43,($D843/50-$T$43*$P$9)/$P$9,"")</f>
        <v/>
      </c>
      <c r="L843" s="25" t="str">
        <f>IFERROR(($D843/50-_xlfn.XLOOKUP($H843,$O$48:$O$62,$T$48:$T$62)*$P$14)/$P$9,"")</f>
        <v/>
      </c>
      <c r="M843" s="14">
        <f t="shared" si="13"/>
        <v>0</v>
      </c>
    </row>
    <row r="844" spans="2:13" x14ac:dyDescent="0.25">
      <c r="B844" s="10" t="str">
        <f>IF('Importér data'!C855="type",'Importér data'!F855,"")</f>
        <v/>
      </c>
      <c r="C844" s="10">
        <f>'Importér data'!H855</f>
        <v>0</v>
      </c>
      <c r="D844" s="32" t="str">
        <f>IF('Importér data'!C855="type",'Importér data'!N855,"")</f>
        <v/>
      </c>
      <c r="E844" s="24"/>
      <c r="F844" s="45"/>
      <c r="G844" s="45"/>
      <c r="H844" s="24"/>
      <c r="I844" s="25" t="str">
        <f>IFERROR(($D844/50-_xlfn.XLOOKUP($E844,$O$35:$O$43,$T$35:$T$43)*F844)/$P$9,"")</f>
        <v/>
      </c>
      <c r="J844" s="25" t="str">
        <f>IFERROR(_xlfn.XLOOKUP($E844,$O$35:$O$43,$T$35:$T$43)*G844/$P$9,"")</f>
        <v/>
      </c>
      <c r="K844" s="25" t="str">
        <f>IF(E844=$O$43,($D844/50-$T$43*$P$9)/$P$9,"")</f>
        <v/>
      </c>
      <c r="L844" s="25" t="str">
        <f>IFERROR(($D844/50-_xlfn.XLOOKUP($H844,$O$48:$O$62,$T$48:$T$62)*$P$14)/$P$9,"")</f>
        <v/>
      </c>
      <c r="M844" s="14">
        <f t="shared" si="13"/>
        <v>0</v>
      </c>
    </row>
    <row r="845" spans="2:13" x14ac:dyDescent="0.25">
      <c r="B845" s="10" t="str">
        <f>IF('Importér data'!C856="type",'Importér data'!F856,"")</f>
        <v/>
      </c>
      <c r="C845" s="10">
        <f>'Importér data'!H856</f>
        <v>0</v>
      </c>
      <c r="D845" s="32" t="str">
        <f>IF('Importér data'!C856="type",'Importér data'!N856,"")</f>
        <v/>
      </c>
      <c r="E845" s="24"/>
      <c r="F845" s="45"/>
      <c r="G845" s="45"/>
      <c r="H845" s="24"/>
      <c r="I845" s="25" t="str">
        <f>IFERROR(($D845/50-_xlfn.XLOOKUP($E845,$O$35:$O$43,$T$35:$T$43)*F845)/$P$9,"")</f>
        <v/>
      </c>
      <c r="J845" s="25" t="str">
        <f>IFERROR(_xlfn.XLOOKUP($E845,$O$35:$O$43,$T$35:$T$43)*G845/$P$9,"")</f>
        <v/>
      </c>
      <c r="K845" s="25" t="str">
        <f>IF(E845=$O$43,($D845/50-$T$43*$P$9)/$P$9,"")</f>
        <v/>
      </c>
      <c r="L845" s="25" t="str">
        <f>IFERROR(($D845/50-_xlfn.XLOOKUP($H845,$O$48:$O$62,$T$48:$T$62)*$P$14)/$P$9,"")</f>
        <v/>
      </c>
      <c r="M845" s="14">
        <f t="shared" si="13"/>
        <v>0</v>
      </c>
    </row>
    <row r="846" spans="2:13" x14ac:dyDescent="0.25">
      <c r="B846" s="10" t="str">
        <f>IF('Importér data'!C857="type",'Importér data'!F857,"")</f>
        <v/>
      </c>
      <c r="C846" s="10">
        <f>'Importér data'!H857</f>
        <v>0</v>
      </c>
      <c r="D846" s="32" t="str">
        <f>IF('Importér data'!C857="type",'Importér data'!N857,"")</f>
        <v/>
      </c>
      <c r="E846" s="24"/>
      <c r="F846" s="45"/>
      <c r="G846" s="45"/>
      <c r="H846" s="24"/>
      <c r="I846" s="25" t="str">
        <f>IFERROR(($D846/50-_xlfn.XLOOKUP($E846,$O$35:$O$43,$T$35:$T$43)*F846)/$P$9,"")</f>
        <v/>
      </c>
      <c r="J846" s="25" t="str">
        <f>IFERROR(_xlfn.XLOOKUP($E846,$O$35:$O$43,$T$35:$T$43)*G846/$P$9,"")</f>
        <v/>
      </c>
      <c r="K846" s="25" t="str">
        <f>IF(E846=$O$43,($D846/50-$T$43*$P$9)/$P$9,"")</f>
        <v/>
      </c>
      <c r="L846" s="25" t="str">
        <f>IFERROR(($D846/50-_xlfn.XLOOKUP($H846,$O$48:$O$62,$T$48:$T$62)*$P$14)/$P$9,"")</f>
        <v/>
      </c>
      <c r="M846" s="14">
        <f t="shared" si="13"/>
        <v>0</v>
      </c>
    </row>
    <row r="847" spans="2:13" x14ac:dyDescent="0.25">
      <c r="B847" s="10" t="str">
        <f>IF('Importér data'!C858="type",'Importér data'!F858,"")</f>
        <v/>
      </c>
      <c r="C847" s="10">
        <f>'Importér data'!H858</f>
        <v>0</v>
      </c>
      <c r="D847" s="32" t="str">
        <f>IF('Importér data'!C858="type",'Importér data'!N858,"")</f>
        <v/>
      </c>
      <c r="E847" s="24"/>
      <c r="F847" s="45"/>
      <c r="G847" s="45"/>
      <c r="H847" s="24"/>
      <c r="I847" s="25" t="str">
        <f>IFERROR(($D847/50-_xlfn.XLOOKUP($E847,$O$35:$O$43,$T$35:$T$43)*F847)/$P$9,"")</f>
        <v/>
      </c>
      <c r="J847" s="25" t="str">
        <f>IFERROR(_xlfn.XLOOKUP($E847,$O$35:$O$43,$T$35:$T$43)*G847/$P$9,"")</f>
        <v/>
      </c>
      <c r="K847" s="25" t="str">
        <f>IF(E847=$O$43,($D847/50-$T$43*$P$9)/$P$9,"")</f>
        <v/>
      </c>
      <c r="L847" s="25" t="str">
        <f>IFERROR(($D847/50-_xlfn.XLOOKUP($H847,$O$48:$O$62,$T$48:$T$62)*$P$14)/$P$9,"")</f>
        <v/>
      </c>
      <c r="M847" s="14">
        <f t="shared" si="13"/>
        <v>0</v>
      </c>
    </row>
    <row r="848" spans="2:13" x14ac:dyDescent="0.25">
      <c r="B848" s="10" t="str">
        <f>IF('Importér data'!C859="type",'Importér data'!F859,"")</f>
        <v/>
      </c>
      <c r="C848" s="10">
        <f>'Importér data'!H859</f>
        <v>0</v>
      </c>
      <c r="D848" s="32" t="str">
        <f>IF('Importér data'!C859="type",'Importér data'!N859,"")</f>
        <v/>
      </c>
      <c r="E848" s="24"/>
      <c r="F848" s="45"/>
      <c r="G848" s="45"/>
      <c r="H848" s="24"/>
      <c r="I848" s="25" t="str">
        <f>IFERROR(($D848/50-_xlfn.XLOOKUP($E848,$O$35:$O$43,$T$35:$T$43)*F848)/$P$9,"")</f>
        <v/>
      </c>
      <c r="J848" s="25" t="str">
        <f>IFERROR(_xlfn.XLOOKUP($E848,$O$35:$O$43,$T$35:$T$43)*G848/$P$9,"")</f>
        <v/>
      </c>
      <c r="K848" s="25" t="str">
        <f>IF(E848=$O$43,($D848/50-$T$43*$P$9)/$P$9,"")</f>
        <v/>
      </c>
      <c r="L848" s="25" t="str">
        <f>IFERROR(($D848/50-_xlfn.XLOOKUP($H848,$O$48:$O$62,$T$48:$T$62)*$P$14)/$P$9,"")</f>
        <v/>
      </c>
      <c r="M848" s="14">
        <f t="shared" si="13"/>
        <v>0</v>
      </c>
    </row>
    <row r="849" spans="2:13" x14ac:dyDescent="0.25">
      <c r="B849" s="10" t="str">
        <f>IF('Importér data'!C860="type",'Importér data'!F860,"")</f>
        <v/>
      </c>
      <c r="C849" s="10">
        <f>'Importér data'!H860</f>
        <v>0</v>
      </c>
      <c r="D849" s="32" t="str">
        <f>IF('Importér data'!C860="type",'Importér data'!N860,"")</f>
        <v/>
      </c>
      <c r="E849" s="24"/>
      <c r="F849" s="45"/>
      <c r="G849" s="45"/>
      <c r="H849" s="24"/>
      <c r="I849" s="25" t="str">
        <f>IFERROR(($D849/50-_xlfn.XLOOKUP($E849,$O$35:$O$43,$T$35:$T$43)*F849)/$P$9,"")</f>
        <v/>
      </c>
      <c r="J849" s="25" t="str">
        <f>IFERROR(_xlfn.XLOOKUP($E849,$O$35:$O$43,$T$35:$T$43)*G849/$P$9,"")</f>
        <v/>
      </c>
      <c r="K849" s="25" t="str">
        <f>IF(E849=$O$43,($D849/50-$T$43*$P$9)/$P$9,"")</f>
        <v/>
      </c>
      <c r="L849" s="25" t="str">
        <f>IFERROR(($D849/50-_xlfn.XLOOKUP($H849,$O$48:$O$62,$T$48:$T$62)*$P$14)/$P$9,"")</f>
        <v/>
      </c>
      <c r="M849" s="14">
        <f t="shared" si="13"/>
        <v>0</v>
      </c>
    </row>
    <row r="850" spans="2:13" x14ac:dyDescent="0.25">
      <c r="B850" s="10" t="str">
        <f>IF('Importér data'!C861="type",'Importér data'!F861,"")</f>
        <v/>
      </c>
      <c r="C850" s="10">
        <f>'Importér data'!H861</f>
        <v>0</v>
      </c>
      <c r="D850" s="32" t="str">
        <f>IF('Importér data'!C861="type",'Importér data'!N861,"")</f>
        <v/>
      </c>
      <c r="E850" s="24"/>
      <c r="F850" s="45"/>
      <c r="G850" s="45"/>
      <c r="H850" s="24"/>
      <c r="I850" s="25" t="str">
        <f>IFERROR(($D850/50-_xlfn.XLOOKUP($E850,$O$35:$O$43,$T$35:$T$43)*F850)/$P$9,"")</f>
        <v/>
      </c>
      <c r="J850" s="25" t="str">
        <f>IFERROR(_xlfn.XLOOKUP($E850,$O$35:$O$43,$T$35:$T$43)*G850/$P$9,"")</f>
        <v/>
      </c>
      <c r="K850" s="25" t="str">
        <f>IF(E850=$O$43,($D850/50-$T$43*$P$9)/$P$9,"")</f>
        <v/>
      </c>
      <c r="L850" s="25" t="str">
        <f>IFERROR(($D850/50-_xlfn.XLOOKUP($H850,$O$48:$O$62,$T$48:$T$62)*$P$14)/$P$9,"")</f>
        <v/>
      </c>
      <c r="M850" s="14">
        <f t="shared" si="13"/>
        <v>0</v>
      </c>
    </row>
    <row r="851" spans="2:13" x14ac:dyDescent="0.25">
      <c r="B851" s="10" t="str">
        <f>IF('Importér data'!C862="type",'Importér data'!F862,"")</f>
        <v/>
      </c>
      <c r="C851" s="10">
        <f>'Importér data'!H862</f>
        <v>0</v>
      </c>
      <c r="D851" s="32" t="str">
        <f>IF('Importér data'!C862="type",'Importér data'!N862,"")</f>
        <v/>
      </c>
      <c r="E851" s="24"/>
      <c r="F851" s="45"/>
      <c r="G851" s="45"/>
      <c r="H851" s="24"/>
      <c r="I851" s="25" t="str">
        <f>IFERROR(($D851/50-_xlfn.XLOOKUP($E851,$O$35:$O$43,$T$35:$T$43)*F851)/$P$9,"")</f>
        <v/>
      </c>
      <c r="J851" s="25" t="str">
        <f>IFERROR(_xlfn.XLOOKUP($E851,$O$35:$O$43,$T$35:$T$43)*G851/$P$9,"")</f>
        <v/>
      </c>
      <c r="K851" s="25" t="str">
        <f>IF(E851=$O$43,($D851/50-$T$43*$P$9)/$P$9,"")</f>
        <v/>
      </c>
      <c r="L851" s="25" t="str">
        <f>IFERROR(($D851/50-_xlfn.XLOOKUP($H851,$O$48:$O$62,$T$48:$T$62)*$P$14)/$P$9,"")</f>
        <v/>
      </c>
      <c r="M851" s="14">
        <f t="shared" si="13"/>
        <v>0</v>
      </c>
    </row>
    <row r="852" spans="2:13" x14ac:dyDescent="0.25">
      <c r="B852" s="10" t="str">
        <f>IF('Importér data'!C863="type",'Importér data'!F863,"")</f>
        <v/>
      </c>
      <c r="C852" s="10">
        <f>'Importér data'!H863</f>
        <v>0</v>
      </c>
      <c r="D852" s="32" t="str">
        <f>IF('Importér data'!C863="type",'Importér data'!N863,"")</f>
        <v/>
      </c>
      <c r="E852" s="24"/>
      <c r="F852" s="45"/>
      <c r="G852" s="45"/>
      <c r="H852" s="24"/>
      <c r="I852" s="25" t="str">
        <f>IFERROR(($D852/50-_xlfn.XLOOKUP($E852,$O$35:$O$43,$T$35:$T$43)*F852)/$P$9,"")</f>
        <v/>
      </c>
      <c r="J852" s="25" t="str">
        <f>IFERROR(_xlfn.XLOOKUP($E852,$O$35:$O$43,$T$35:$T$43)*G852/$P$9,"")</f>
        <v/>
      </c>
      <c r="K852" s="25" t="str">
        <f>IF(E852=$O$43,($D852/50-$T$43*$P$9)/$P$9,"")</f>
        <v/>
      </c>
      <c r="L852" s="25" t="str">
        <f>IFERROR(($D852/50-_xlfn.XLOOKUP($H852,$O$48:$O$62,$T$48:$T$62)*$P$14)/$P$9,"")</f>
        <v/>
      </c>
      <c r="M852" s="14">
        <f t="shared" si="13"/>
        <v>0</v>
      </c>
    </row>
    <row r="853" spans="2:13" x14ac:dyDescent="0.25">
      <c r="B853" s="10" t="str">
        <f>IF('Importér data'!C864="type",'Importér data'!F864,"")</f>
        <v/>
      </c>
      <c r="C853" s="10">
        <f>'Importér data'!H864</f>
        <v>0</v>
      </c>
      <c r="D853" s="32" t="str">
        <f>IF('Importér data'!C864="type",'Importér data'!N864,"")</f>
        <v/>
      </c>
      <c r="E853" s="24"/>
      <c r="F853" s="45"/>
      <c r="G853" s="45"/>
      <c r="H853" s="24"/>
      <c r="I853" s="25" t="str">
        <f>IFERROR(($D853/50-_xlfn.XLOOKUP($E853,$O$35:$O$43,$T$35:$T$43)*F853)/$P$9,"")</f>
        <v/>
      </c>
      <c r="J853" s="25" t="str">
        <f>IFERROR(_xlfn.XLOOKUP($E853,$O$35:$O$43,$T$35:$T$43)*G853/$P$9,"")</f>
        <v/>
      </c>
      <c r="K853" s="25" t="str">
        <f>IF(E853=$O$43,($D853/50-$T$43*$P$9)/$P$9,"")</f>
        <v/>
      </c>
      <c r="L853" s="25" t="str">
        <f>IFERROR(($D853/50-_xlfn.XLOOKUP($H853,$O$48:$O$62,$T$48:$T$62)*$P$14)/$P$9,"")</f>
        <v/>
      </c>
      <c r="M853" s="14">
        <f t="shared" si="13"/>
        <v>0</v>
      </c>
    </row>
    <row r="854" spans="2:13" x14ac:dyDescent="0.25">
      <c r="B854" s="10" t="str">
        <f>IF('Importér data'!C865="type",'Importér data'!F865,"")</f>
        <v/>
      </c>
      <c r="C854" s="10">
        <f>'Importér data'!H865</f>
        <v>0</v>
      </c>
      <c r="D854" s="32" t="str">
        <f>IF('Importér data'!C865="type",'Importér data'!N865,"")</f>
        <v/>
      </c>
      <c r="E854" s="24"/>
      <c r="F854" s="45"/>
      <c r="G854" s="45"/>
      <c r="H854" s="24"/>
      <c r="I854" s="25" t="str">
        <f>IFERROR(($D854/50-_xlfn.XLOOKUP($E854,$O$35:$O$43,$T$35:$T$43)*F854)/$P$9,"")</f>
        <v/>
      </c>
      <c r="J854" s="25" t="str">
        <f>IFERROR(_xlfn.XLOOKUP($E854,$O$35:$O$43,$T$35:$T$43)*G854/$P$9,"")</f>
        <v/>
      </c>
      <c r="K854" s="25" t="str">
        <f>IF(E854=$O$43,($D854/50-$T$43*$P$9)/$P$9,"")</f>
        <v/>
      </c>
      <c r="L854" s="25" t="str">
        <f>IFERROR(($D854/50-_xlfn.XLOOKUP($H854,$O$48:$O$62,$T$48:$T$62)*$P$14)/$P$9,"")</f>
        <v/>
      </c>
      <c r="M854" s="14">
        <f t="shared" si="13"/>
        <v>0</v>
      </c>
    </row>
    <row r="855" spans="2:13" x14ac:dyDescent="0.25">
      <c r="B855" s="10" t="str">
        <f>IF('Importér data'!C866="type",'Importér data'!F866,"")</f>
        <v/>
      </c>
      <c r="C855" s="10">
        <f>'Importér data'!H866</f>
        <v>0</v>
      </c>
      <c r="D855" s="32" t="str">
        <f>IF('Importér data'!C866="type",'Importér data'!N866,"")</f>
        <v/>
      </c>
      <c r="E855" s="24"/>
      <c r="F855" s="45"/>
      <c r="G855" s="45"/>
      <c r="H855" s="24"/>
      <c r="I855" s="25" t="str">
        <f>IFERROR(($D855/50-_xlfn.XLOOKUP($E855,$O$35:$O$43,$T$35:$T$43)*F855)/$P$9,"")</f>
        <v/>
      </c>
      <c r="J855" s="25" t="str">
        <f>IFERROR(_xlfn.XLOOKUP($E855,$O$35:$O$43,$T$35:$T$43)*G855/$P$9,"")</f>
        <v/>
      </c>
      <c r="K855" s="25" t="str">
        <f>IF(E855=$O$43,($D855/50-$T$43*$P$9)/$P$9,"")</f>
        <v/>
      </c>
      <c r="L855" s="25" t="str">
        <f>IFERROR(($D855/50-_xlfn.XLOOKUP($H855,$O$48:$O$62,$T$48:$T$62)*$P$14)/$P$9,"")</f>
        <v/>
      </c>
      <c r="M855" s="14">
        <f t="shared" si="13"/>
        <v>0</v>
      </c>
    </row>
    <row r="856" spans="2:13" x14ac:dyDescent="0.25">
      <c r="B856" s="10" t="str">
        <f>IF('Importér data'!C867="type",'Importér data'!F867,"")</f>
        <v/>
      </c>
      <c r="C856" s="10">
        <f>'Importér data'!H867</f>
        <v>0</v>
      </c>
      <c r="D856" s="32" t="str">
        <f>IF('Importér data'!C867="type",'Importér data'!N867,"")</f>
        <v/>
      </c>
      <c r="E856" s="24"/>
      <c r="F856" s="45"/>
      <c r="G856" s="45"/>
      <c r="H856" s="24"/>
      <c r="I856" s="25" t="str">
        <f>IFERROR(($D856/50-_xlfn.XLOOKUP($E856,$O$35:$O$43,$T$35:$T$43)*F856)/$P$9,"")</f>
        <v/>
      </c>
      <c r="J856" s="25" t="str">
        <f>IFERROR(_xlfn.XLOOKUP($E856,$O$35:$O$43,$T$35:$T$43)*G856/$P$9,"")</f>
        <v/>
      </c>
      <c r="K856" s="25" t="str">
        <f>IF(E856=$O$43,($D856/50-$T$43*$P$9)/$P$9,"")</f>
        <v/>
      </c>
      <c r="L856" s="25" t="str">
        <f>IFERROR(($D856/50-_xlfn.XLOOKUP($H856,$O$48:$O$62,$T$48:$T$62)*$P$14)/$P$9,"")</f>
        <v/>
      </c>
      <c r="M856" s="14">
        <f t="shared" si="13"/>
        <v>0</v>
      </c>
    </row>
    <row r="857" spans="2:13" x14ac:dyDescent="0.25">
      <c r="B857" s="10" t="str">
        <f>IF('Importér data'!C868="type",'Importér data'!F868,"")</f>
        <v/>
      </c>
      <c r="C857" s="10">
        <f>'Importér data'!H868</f>
        <v>0</v>
      </c>
      <c r="D857" s="32" t="str">
        <f>IF('Importér data'!C868="type",'Importér data'!N868,"")</f>
        <v/>
      </c>
      <c r="E857" s="24"/>
      <c r="F857" s="45"/>
      <c r="G857" s="45"/>
      <c r="H857" s="24"/>
      <c r="I857" s="25" t="str">
        <f>IFERROR(($D857/50-_xlfn.XLOOKUP($E857,$O$35:$O$43,$T$35:$T$43)*F857)/$P$9,"")</f>
        <v/>
      </c>
      <c r="J857" s="25" t="str">
        <f>IFERROR(_xlfn.XLOOKUP($E857,$O$35:$O$43,$T$35:$T$43)*G857/$P$9,"")</f>
        <v/>
      </c>
      <c r="K857" s="25" t="str">
        <f>IF(E857=$O$43,($D857/50-$T$43*$P$9)/$P$9,"")</f>
        <v/>
      </c>
      <c r="L857" s="25" t="str">
        <f>IFERROR(($D857/50-_xlfn.XLOOKUP($H857,$O$48:$O$62,$T$48:$T$62)*$P$14)/$P$9,"")</f>
        <v/>
      </c>
      <c r="M857" s="14">
        <f t="shared" si="13"/>
        <v>0</v>
      </c>
    </row>
    <row r="858" spans="2:13" x14ac:dyDescent="0.25">
      <c r="B858" s="10" t="str">
        <f>IF('Importér data'!C869="type",'Importér data'!F869,"")</f>
        <v/>
      </c>
      <c r="C858" s="10">
        <f>'Importér data'!H869</f>
        <v>0</v>
      </c>
      <c r="D858" s="32" t="str">
        <f>IF('Importér data'!C869="type",'Importér data'!N869,"")</f>
        <v/>
      </c>
      <c r="E858" s="24"/>
      <c r="F858" s="45"/>
      <c r="G858" s="45"/>
      <c r="H858" s="24"/>
      <c r="I858" s="25" t="str">
        <f>IFERROR(($D858/50-_xlfn.XLOOKUP($E858,$O$35:$O$43,$T$35:$T$43)*F858)/$P$9,"")</f>
        <v/>
      </c>
      <c r="J858" s="25" t="str">
        <f>IFERROR(_xlfn.XLOOKUP($E858,$O$35:$O$43,$T$35:$T$43)*G858/$P$9,"")</f>
        <v/>
      </c>
      <c r="K858" s="25" t="str">
        <f>IF(E858=$O$43,($D858/50-$T$43*$P$9)/$P$9,"")</f>
        <v/>
      </c>
      <c r="L858" s="25" t="str">
        <f>IFERROR(($D858/50-_xlfn.XLOOKUP($H858,$O$48:$O$62,$T$48:$T$62)*$P$14)/$P$9,"")</f>
        <v/>
      </c>
      <c r="M858" s="14">
        <f t="shared" si="13"/>
        <v>0</v>
      </c>
    </row>
    <row r="859" spans="2:13" x14ac:dyDescent="0.25">
      <c r="B859" s="10" t="str">
        <f>IF('Importér data'!C870="type",'Importér data'!F870,"")</f>
        <v/>
      </c>
      <c r="C859" s="10">
        <f>'Importér data'!H870</f>
        <v>0</v>
      </c>
      <c r="D859" s="32" t="str">
        <f>IF('Importér data'!C870="type",'Importér data'!N870,"")</f>
        <v/>
      </c>
      <c r="E859" s="24"/>
      <c r="F859" s="45"/>
      <c r="G859" s="45"/>
      <c r="H859" s="24"/>
      <c r="I859" s="25" t="str">
        <f>IFERROR(($D859/50-_xlfn.XLOOKUP($E859,$O$35:$O$43,$T$35:$T$43)*F859)/$P$9,"")</f>
        <v/>
      </c>
      <c r="J859" s="25" t="str">
        <f>IFERROR(_xlfn.XLOOKUP($E859,$O$35:$O$43,$T$35:$T$43)*G859/$P$9,"")</f>
        <v/>
      </c>
      <c r="K859" s="25" t="str">
        <f>IF(E859=$O$43,($D859/50-$T$43*$P$9)/$P$9,"")</f>
        <v/>
      </c>
      <c r="L859" s="25" t="str">
        <f>IFERROR(($D859/50-_xlfn.XLOOKUP($H859,$O$48:$O$62,$T$48:$T$62)*$P$14)/$P$9,"")</f>
        <v/>
      </c>
      <c r="M859" s="14">
        <f t="shared" si="13"/>
        <v>0</v>
      </c>
    </row>
    <row r="860" spans="2:13" x14ac:dyDescent="0.25">
      <c r="B860" s="10" t="str">
        <f>IF('Importér data'!C871="type",'Importér data'!F871,"")</f>
        <v/>
      </c>
      <c r="C860" s="10">
        <f>'Importér data'!H871</f>
        <v>0</v>
      </c>
      <c r="D860" s="32" t="str">
        <f>IF('Importér data'!C871="type",'Importér data'!N871,"")</f>
        <v/>
      </c>
      <c r="E860" s="24"/>
      <c r="F860" s="45"/>
      <c r="G860" s="45"/>
      <c r="H860" s="24"/>
      <c r="I860" s="25" t="str">
        <f>IFERROR(($D860/50-_xlfn.XLOOKUP($E860,$O$35:$O$43,$T$35:$T$43)*F860)/$P$9,"")</f>
        <v/>
      </c>
      <c r="J860" s="25" t="str">
        <f>IFERROR(_xlfn.XLOOKUP($E860,$O$35:$O$43,$T$35:$T$43)*G860/$P$9,"")</f>
        <v/>
      </c>
      <c r="K860" s="25" t="str">
        <f>IF(E860=$O$43,($D860/50-$T$43*$P$9)/$P$9,"")</f>
        <v/>
      </c>
      <c r="L860" s="25" t="str">
        <f>IFERROR(($D860/50-_xlfn.XLOOKUP($H860,$O$48:$O$62,$T$48:$T$62)*$P$14)/$P$9,"")</f>
        <v/>
      </c>
      <c r="M860" s="14">
        <f t="shared" si="13"/>
        <v>0</v>
      </c>
    </row>
    <row r="861" spans="2:13" x14ac:dyDescent="0.25">
      <c r="B861" s="10" t="str">
        <f>IF('Importér data'!C872="type",'Importér data'!F872,"")</f>
        <v/>
      </c>
      <c r="C861" s="10">
        <f>'Importér data'!H872</f>
        <v>0</v>
      </c>
      <c r="D861" s="32" t="str">
        <f>IF('Importér data'!C872="type",'Importér data'!N872,"")</f>
        <v/>
      </c>
      <c r="E861" s="24"/>
      <c r="F861" s="45"/>
      <c r="G861" s="45"/>
      <c r="H861" s="24"/>
      <c r="I861" s="25" t="str">
        <f>IFERROR(($D861/50-_xlfn.XLOOKUP($E861,$O$35:$O$43,$T$35:$T$43)*F861)/$P$9,"")</f>
        <v/>
      </c>
      <c r="J861" s="25" t="str">
        <f>IFERROR(_xlfn.XLOOKUP($E861,$O$35:$O$43,$T$35:$T$43)*G861/$P$9,"")</f>
        <v/>
      </c>
      <c r="K861" s="25" t="str">
        <f>IF(E861=$O$43,($D861/50-$T$43*$P$9)/$P$9,"")</f>
        <v/>
      </c>
      <c r="L861" s="25" t="str">
        <f>IFERROR(($D861/50-_xlfn.XLOOKUP($H861,$O$48:$O$62,$T$48:$T$62)*$P$14)/$P$9,"")</f>
        <v/>
      </c>
      <c r="M861" s="14">
        <f t="shared" si="13"/>
        <v>0</v>
      </c>
    </row>
    <row r="862" spans="2:13" x14ac:dyDescent="0.25">
      <c r="B862" s="10" t="str">
        <f>IF('Importér data'!C873="type",'Importér data'!F873,"")</f>
        <v/>
      </c>
      <c r="C862" s="10">
        <f>'Importér data'!H873</f>
        <v>0</v>
      </c>
      <c r="D862" s="32" t="str">
        <f>IF('Importér data'!C873="type",'Importér data'!N873,"")</f>
        <v/>
      </c>
      <c r="E862" s="24"/>
      <c r="F862" s="45"/>
      <c r="G862" s="45"/>
      <c r="H862" s="24"/>
      <c r="I862" s="25" t="str">
        <f>IFERROR(($D862/50-_xlfn.XLOOKUP($E862,$O$35:$O$43,$T$35:$T$43)*F862)/$P$9,"")</f>
        <v/>
      </c>
      <c r="J862" s="25" t="str">
        <f>IFERROR(_xlfn.XLOOKUP($E862,$O$35:$O$43,$T$35:$T$43)*G862/$P$9,"")</f>
        <v/>
      </c>
      <c r="K862" s="25" t="str">
        <f>IF(E862=$O$43,($D862/50-$T$43*$P$9)/$P$9,"")</f>
        <v/>
      </c>
      <c r="L862" s="25" t="str">
        <f>IFERROR(($D862/50-_xlfn.XLOOKUP($H862,$O$48:$O$62,$T$48:$T$62)*$P$14)/$P$9,"")</f>
        <v/>
      </c>
      <c r="M862" s="14">
        <f t="shared" si="13"/>
        <v>0</v>
      </c>
    </row>
    <row r="863" spans="2:13" x14ac:dyDescent="0.25">
      <c r="B863" s="10" t="str">
        <f>IF('Importér data'!C874="type",'Importér data'!F874,"")</f>
        <v/>
      </c>
      <c r="C863" s="10">
        <f>'Importér data'!H874</f>
        <v>0</v>
      </c>
      <c r="D863" s="32" t="str">
        <f>IF('Importér data'!C874="type",'Importér data'!N874,"")</f>
        <v/>
      </c>
      <c r="E863" s="24"/>
      <c r="F863" s="45"/>
      <c r="G863" s="45"/>
      <c r="H863" s="24"/>
      <c r="I863" s="25" t="str">
        <f>IFERROR(($D863/50-_xlfn.XLOOKUP($E863,$O$35:$O$43,$T$35:$T$43)*F863)/$P$9,"")</f>
        <v/>
      </c>
      <c r="J863" s="25" t="str">
        <f>IFERROR(_xlfn.XLOOKUP($E863,$O$35:$O$43,$T$35:$T$43)*G863/$P$9,"")</f>
        <v/>
      </c>
      <c r="K863" s="25" t="str">
        <f>IF(E863=$O$43,($D863/50-$T$43*$P$9)/$P$9,"")</f>
        <v/>
      </c>
      <c r="L863" s="25" t="str">
        <f>IFERROR(($D863/50-_xlfn.XLOOKUP($H863,$O$48:$O$62,$T$48:$T$62)*$P$14)/$P$9,"")</f>
        <v/>
      </c>
      <c r="M863" s="14">
        <f t="shared" si="13"/>
        <v>0</v>
      </c>
    </row>
    <row r="864" spans="2:13" x14ac:dyDescent="0.25">
      <c r="B864" s="10" t="str">
        <f>IF('Importér data'!C875="type",'Importér data'!F875,"")</f>
        <v/>
      </c>
      <c r="C864" s="10">
        <f>'Importér data'!H875</f>
        <v>0</v>
      </c>
      <c r="D864" s="32" t="str">
        <f>IF('Importér data'!C875="type",'Importér data'!N875,"")</f>
        <v/>
      </c>
      <c r="E864" s="24"/>
      <c r="F864" s="45"/>
      <c r="G864" s="45"/>
      <c r="H864" s="24"/>
      <c r="I864" s="25" t="str">
        <f>IFERROR(($D864/50-_xlfn.XLOOKUP($E864,$O$35:$O$43,$T$35:$T$43)*F864)/$P$9,"")</f>
        <v/>
      </c>
      <c r="J864" s="25" t="str">
        <f>IFERROR(_xlfn.XLOOKUP($E864,$O$35:$O$43,$T$35:$T$43)*G864/$P$9,"")</f>
        <v/>
      </c>
      <c r="K864" s="25" t="str">
        <f>IF(E864=$O$43,($D864/50-$T$43*$P$9)/$P$9,"")</f>
        <v/>
      </c>
      <c r="L864" s="25" t="str">
        <f>IFERROR(($D864/50-_xlfn.XLOOKUP($H864,$O$48:$O$62,$T$48:$T$62)*$P$14)/$P$9,"")</f>
        <v/>
      </c>
      <c r="M864" s="14">
        <f t="shared" si="13"/>
        <v>0</v>
      </c>
    </row>
    <row r="865" spans="2:13" x14ac:dyDescent="0.25">
      <c r="B865" s="10" t="str">
        <f>IF('Importér data'!C876="type",'Importér data'!F876,"")</f>
        <v/>
      </c>
      <c r="C865" s="10">
        <f>'Importér data'!H876</f>
        <v>0</v>
      </c>
      <c r="D865" s="32" t="str">
        <f>IF('Importér data'!C876="type",'Importér data'!N876,"")</f>
        <v/>
      </c>
      <c r="E865" s="24"/>
      <c r="F865" s="45"/>
      <c r="G865" s="45"/>
      <c r="H865" s="24"/>
      <c r="I865" s="25" t="str">
        <f>IFERROR(($D865/50-_xlfn.XLOOKUP($E865,$O$35:$O$43,$T$35:$T$43)*F865)/$P$9,"")</f>
        <v/>
      </c>
      <c r="J865" s="25" t="str">
        <f>IFERROR(_xlfn.XLOOKUP($E865,$O$35:$O$43,$T$35:$T$43)*G865/$P$9,"")</f>
        <v/>
      </c>
      <c r="K865" s="25" t="str">
        <f>IF(E865=$O$43,($D865/50-$T$43*$P$9)/$P$9,"")</f>
        <v/>
      </c>
      <c r="L865" s="25" t="str">
        <f>IFERROR(($D865/50-_xlfn.XLOOKUP($H865,$O$48:$O$62,$T$48:$T$62)*$P$14)/$P$9,"")</f>
        <v/>
      </c>
      <c r="M865" s="14">
        <f t="shared" si="13"/>
        <v>0</v>
      </c>
    </row>
    <row r="866" spans="2:13" x14ac:dyDescent="0.25">
      <c r="B866" s="10" t="str">
        <f>IF('Importér data'!C877="type",'Importér data'!F877,"")</f>
        <v/>
      </c>
      <c r="C866" s="10">
        <f>'Importér data'!H877</f>
        <v>0</v>
      </c>
      <c r="D866" s="32" t="str">
        <f>IF('Importér data'!C877="type",'Importér data'!N877,"")</f>
        <v/>
      </c>
      <c r="E866" s="24"/>
      <c r="F866" s="45"/>
      <c r="G866" s="45"/>
      <c r="H866" s="24"/>
      <c r="I866" s="25" t="str">
        <f>IFERROR(($D866/50-_xlfn.XLOOKUP($E866,$O$35:$O$43,$T$35:$T$43)*F866)/$P$9,"")</f>
        <v/>
      </c>
      <c r="J866" s="25" t="str">
        <f>IFERROR(_xlfn.XLOOKUP($E866,$O$35:$O$43,$T$35:$T$43)*G866/$P$9,"")</f>
        <v/>
      </c>
      <c r="K866" s="25" t="str">
        <f>IF(E866=$O$43,($D866/50-$T$43*$P$9)/$P$9,"")</f>
        <v/>
      </c>
      <c r="L866" s="25" t="str">
        <f>IFERROR(($D866/50-_xlfn.XLOOKUP($H866,$O$48:$O$62,$T$48:$T$62)*$P$14)/$P$9,"")</f>
        <v/>
      </c>
      <c r="M866" s="14">
        <f t="shared" si="13"/>
        <v>0</v>
      </c>
    </row>
    <row r="867" spans="2:13" x14ac:dyDescent="0.25">
      <c r="B867" s="10" t="str">
        <f>IF('Importér data'!C878="type",'Importér data'!F878,"")</f>
        <v/>
      </c>
      <c r="C867" s="10">
        <f>'Importér data'!H878</f>
        <v>0</v>
      </c>
      <c r="D867" s="32" t="str">
        <f>IF('Importér data'!C878="type",'Importér data'!N878,"")</f>
        <v/>
      </c>
      <c r="E867" s="24"/>
      <c r="F867" s="45"/>
      <c r="G867" s="45"/>
      <c r="H867" s="24"/>
      <c r="I867" s="25" t="str">
        <f>IFERROR(($D867/50-_xlfn.XLOOKUP($E867,$O$35:$O$43,$T$35:$T$43)*F867)/$P$9,"")</f>
        <v/>
      </c>
      <c r="J867" s="25" t="str">
        <f>IFERROR(_xlfn.XLOOKUP($E867,$O$35:$O$43,$T$35:$T$43)*G867/$P$9,"")</f>
        <v/>
      </c>
      <c r="K867" s="25" t="str">
        <f>IF(E867=$O$43,($D867/50-$T$43*$P$9)/$P$9,"")</f>
        <v/>
      </c>
      <c r="L867" s="25" t="str">
        <f>IFERROR(($D867/50-_xlfn.XLOOKUP($H867,$O$48:$O$62,$T$48:$T$62)*$P$14)/$P$9,"")</f>
        <v/>
      </c>
      <c r="M867" s="14">
        <f t="shared" si="13"/>
        <v>0</v>
      </c>
    </row>
    <row r="868" spans="2:13" x14ac:dyDescent="0.25">
      <c r="B868" s="10" t="str">
        <f>IF('Importér data'!C879="type",'Importér data'!F879,"")</f>
        <v/>
      </c>
      <c r="C868" s="10">
        <f>'Importér data'!H879</f>
        <v>0</v>
      </c>
      <c r="D868" s="32" t="str">
        <f>IF('Importér data'!C879="type",'Importér data'!N879,"")</f>
        <v/>
      </c>
      <c r="E868" s="24"/>
      <c r="F868" s="45"/>
      <c r="G868" s="45"/>
      <c r="H868" s="24"/>
      <c r="I868" s="25" t="str">
        <f>IFERROR(($D868/50-_xlfn.XLOOKUP($E868,$O$35:$O$43,$T$35:$T$43)*F868)/$P$9,"")</f>
        <v/>
      </c>
      <c r="J868" s="25" t="str">
        <f>IFERROR(_xlfn.XLOOKUP($E868,$O$35:$O$43,$T$35:$T$43)*G868/$P$9,"")</f>
        <v/>
      </c>
      <c r="K868" s="25" t="str">
        <f>IF(E868=$O$43,($D868/50-$T$43*$P$9)/$P$9,"")</f>
        <v/>
      </c>
      <c r="L868" s="25" t="str">
        <f>IFERROR(($D868/50-_xlfn.XLOOKUP($H868,$O$48:$O$62,$T$48:$T$62)*$P$14)/$P$9,"")</f>
        <v/>
      </c>
      <c r="M868" s="14">
        <f t="shared" si="13"/>
        <v>0</v>
      </c>
    </row>
    <row r="869" spans="2:13" x14ac:dyDescent="0.25">
      <c r="B869" s="10" t="str">
        <f>IF('Importér data'!C880="type",'Importér data'!F880,"")</f>
        <v/>
      </c>
      <c r="C869" s="10">
        <f>'Importér data'!H880</f>
        <v>0</v>
      </c>
      <c r="D869" s="32" t="str">
        <f>IF('Importér data'!C880="type",'Importér data'!N880,"")</f>
        <v/>
      </c>
      <c r="E869" s="24"/>
      <c r="F869" s="45"/>
      <c r="G869" s="45"/>
      <c r="H869" s="24"/>
      <c r="I869" s="25" t="str">
        <f>IFERROR(($D869/50-_xlfn.XLOOKUP($E869,$O$35:$O$43,$T$35:$T$43)*F869)/$P$9,"")</f>
        <v/>
      </c>
      <c r="J869" s="25" t="str">
        <f>IFERROR(_xlfn.XLOOKUP($E869,$O$35:$O$43,$T$35:$T$43)*G869/$P$9,"")</f>
        <v/>
      </c>
      <c r="K869" s="25" t="str">
        <f>IF(E869=$O$43,($D869/50-$T$43*$P$9)/$P$9,"")</f>
        <v/>
      </c>
      <c r="L869" s="25" t="str">
        <f>IFERROR(($D869/50-_xlfn.XLOOKUP($H869,$O$48:$O$62,$T$48:$T$62)*$P$14)/$P$9,"")</f>
        <v/>
      </c>
      <c r="M869" s="14">
        <f t="shared" si="13"/>
        <v>0</v>
      </c>
    </row>
    <row r="870" spans="2:13" x14ac:dyDescent="0.25">
      <c r="B870" s="10" t="str">
        <f>IF('Importér data'!C881="type",'Importér data'!F881,"")</f>
        <v/>
      </c>
      <c r="C870" s="10">
        <f>'Importér data'!H881</f>
        <v>0</v>
      </c>
      <c r="D870" s="32" t="str">
        <f>IF('Importér data'!C881="type",'Importér data'!N881,"")</f>
        <v/>
      </c>
      <c r="E870" s="24"/>
      <c r="F870" s="45"/>
      <c r="G870" s="45"/>
      <c r="H870" s="24"/>
      <c r="I870" s="25" t="str">
        <f>IFERROR(($D870/50-_xlfn.XLOOKUP($E870,$O$35:$O$43,$T$35:$T$43)*F870)/$P$9,"")</f>
        <v/>
      </c>
      <c r="J870" s="25" t="str">
        <f>IFERROR(_xlfn.XLOOKUP($E870,$O$35:$O$43,$T$35:$T$43)*G870/$P$9,"")</f>
        <v/>
      </c>
      <c r="K870" s="25" t="str">
        <f>IF(E870=$O$43,($D870/50-$T$43*$P$9)/$P$9,"")</f>
        <v/>
      </c>
      <c r="L870" s="25" t="str">
        <f>IFERROR(($D870/50-_xlfn.XLOOKUP($H870,$O$48:$O$62,$T$48:$T$62)*$P$14)/$P$9,"")</f>
        <v/>
      </c>
      <c r="M870" s="14">
        <f t="shared" si="13"/>
        <v>0</v>
      </c>
    </row>
    <row r="871" spans="2:13" x14ac:dyDescent="0.25">
      <c r="B871" s="10" t="str">
        <f>IF('Importér data'!C882="type",'Importér data'!F882,"")</f>
        <v/>
      </c>
      <c r="C871" s="10">
        <f>'Importér data'!H882</f>
        <v>0</v>
      </c>
      <c r="D871" s="32" t="str">
        <f>IF('Importér data'!C882="type",'Importér data'!N882,"")</f>
        <v/>
      </c>
      <c r="E871" s="24"/>
      <c r="F871" s="45"/>
      <c r="G871" s="45"/>
      <c r="H871" s="24"/>
      <c r="I871" s="25" t="str">
        <f>IFERROR(($D871/50-_xlfn.XLOOKUP($E871,$O$35:$O$43,$T$35:$T$43)*F871)/$P$9,"")</f>
        <v/>
      </c>
      <c r="J871" s="25" t="str">
        <f>IFERROR(_xlfn.XLOOKUP($E871,$O$35:$O$43,$T$35:$T$43)*G871/$P$9,"")</f>
        <v/>
      </c>
      <c r="K871" s="25" t="str">
        <f>IF(E871=$O$43,($D871/50-$T$43*$P$9)/$P$9,"")</f>
        <v/>
      </c>
      <c r="L871" s="25" t="str">
        <f>IFERROR(($D871/50-_xlfn.XLOOKUP($H871,$O$48:$O$62,$T$48:$T$62)*$P$14)/$P$9,"")</f>
        <v/>
      </c>
      <c r="M871" s="14">
        <f t="shared" si="13"/>
        <v>0</v>
      </c>
    </row>
    <row r="872" spans="2:13" x14ac:dyDescent="0.25">
      <c r="B872" s="10" t="str">
        <f>IF('Importér data'!C883="type",'Importér data'!F883,"")</f>
        <v/>
      </c>
      <c r="C872" s="10">
        <f>'Importér data'!H883</f>
        <v>0</v>
      </c>
      <c r="D872" s="32" t="str">
        <f>IF('Importér data'!C883="type",'Importér data'!N883,"")</f>
        <v/>
      </c>
      <c r="E872" s="24"/>
      <c r="F872" s="45"/>
      <c r="G872" s="45"/>
      <c r="H872" s="24"/>
      <c r="I872" s="25" t="str">
        <f>IFERROR(($D872/50-_xlfn.XLOOKUP($E872,$O$35:$O$43,$T$35:$T$43)*F872)/$P$9,"")</f>
        <v/>
      </c>
      <c r="J872" s="25" t="str">
        <f>IFERROR(_xlfn.XLOOKUP($E872,$O$35:$O$43,$T$35:$T$43)*G872/$P$9,"")</f>
        <v/>
      </c>
      <c r="K872" s="25" t="str">
        <f>IF(E872=$O$43,($D872/50-$T$43*$P$9)/$P$9,"")</f>
        <v/>
      </c>
      <c r="L872" s="25" t="str">
        <f>IFERROR(($D872/50-_xlfn.XLOOKUP($H872,$O$48:$O$62,$T$48:$T$62)*$P$14)/$P$9,"")</f>
        <v/>
      </c>
      <c r="M872" s="14">
        <f t="shared" si="13"/>
        <v>0</v>
      </c>
    </row>
    <row r="873" spans="2:13" x14ac:dyDescent="0.25">
      <c r="B873" s="10" t="str">
        <f>IF('Importér data'!C884="type",'Importér data'!F884,"")</f>
        <v/>
      </c>
      <c r="C873" s="10">
        <f>'Importér data'!H884</f>
        <v>0</v>
      </c>
      <c r="D873" s="32" t="str">
        <f>IF('Importér data'!C884="type",'Importér data'!N884,"")</f>
        <v/>
      </c>
      <c r="E873" s="24"/>
      <c r="F873" s="45"/>
      <c r="G873" s="45"/>
      <c r="H873" s="24"/>
      <c r="I873" s="25" t="str">
        <f>IFERROR(($D873/50-_xlfn.XLOOKUP($E873,$O$35:$O$43,$T$35:$T$43)*F873)/$P$9,"")</f>
        <v/>
      </c>
      <c r="J873" s="25" t="str">
        <f>IFERROR(_xlfn.XLOOKUP($E873,$O$35:$O$43,$T$35:$T$43)*G873/$P$9,"")</f>
        <v/>
      </c>
      <c r="K873" s="25" t="str">
        <f>IF(E873=$O$43,($D873/50-$T$43*$P$9)/$P$9,"")</f>
        <v/>
      </c>
      <c r="L873" s="25" t="str">
        <f>IFERROR(($D873/50-_xlfn.XLOOKUP($H873,$O$48:$O$62,$T$48:$T$62)*$P$14)/$P$9,"")</f>
        <v/>
      </c>
      <c r="M873" s="14">
        <f t="shared" si="13"/>
        <v>0</v>
      </c>
    </row>
    <row r="874" spans="2:13" x14ac:dyDescent="0.25">
      <c r="B874" s="10" t="str">
        <f>IF('Importér data'!C885="type",'Importér data'!F885,"")</f>
        <v/>
      </c>
      <c r="C874" s="10">
        <f>'Importér data'!H885</f>
        <v>0</v>
      </c>
      <c r="D874" s="32" t="str">
        <f>IF('Importér data'!C885="type",'Importér data'!N885,"")</f>
        <v/>
      </c>
      <c r="E874" s="24"/>
      <c r="F874" s="45"/>
      <c r="G874" s="45"/>
      <c r="H874" s="24"/>
      <c r="I874" s="25" t="str">
        <f>IFERROR(($D874/50-_xlfn.XLOOKUP($E874,$O$35:$O$43,$T$35:$T$43)*F874)/$P$9,"")</f>
        <v/>
      </c>
      <c r="J874" s="25" t="str">
        <f>IFERROR(_xlfn.XLOOKUP($E874,$O$35:$O$43,$T$35:$T$43)*G874/$P$9,"")</f>
        <v/>
      </c>
      <c r="K874" s="25" t="str">
        <f>IF(E874=$O$43,($D874/50-$T$43*$P$9)/$P$9,"")</f>
        <v/>
      </c>
      <c r="L874" s="25" t="str">
        <f>IFERROR(($D874/50-_xlfn.XLOOKUP($H874,$O$48:$O$62,$T$48:$T$62)*$P$14)/$P$9,"")</f>
        <v/>
      </c>
      <c r="M874" s="14">
        <f t="shared" si="13"/>
        <v>0</v>
      </c>
    </row>
    <row r="875" spans="2:13" x14ac:dyDescent="0.25">
      <c r="B875" s="10" t="str">
        <f>IF('Importér data'!C886="type",'Importér data'!F886,"")</f>
        <v/>
      </c>
      <c r="C875" s="10">
        <f>'Importér data'!H886</f>
        <v>0</v>
      </c>
      <c r="D875" s="32" t="str">
        <f>IF('Importér data'!C886="type",'Importér data'!N886,"")</f>
        <v/>
      </c>
      <c r="E875" s="24"/>
      <c r="F875" s="45"/>
      <c r="G875" s="45"/>
      <c r="H875" s="24"/>
      <c r="I875" s="25" t="str">
        <f>IFERROR(($D875/50-_xlfn.XLOOKUP($E875,$O$35:$O$43,$T$35:$T$43)*F875)/$P$9,"")</f>
        <v/>
      </c>
      <c r="J875" s="25" t="str">
        <f>IFERROR(_xlfn.XLOOKUP($E875,$O$35:$O$43,$T$35:$T$43)*G875/$P$9,"")</f>
        <v/>
      </c>
      <c r="K875" s="25" t="str">
        <f>IF(E875=$O$43,($D875/50-$T$43*$P$9)/$P$9,"")</f>
        <v/>
      </c>
      <c r="L875" s="25" t="str">
        <f>IFERROR(($D875/50-_xlfn.XLOOKUP($H875,$O$48:$O$62,$T$48:$T$62)*$P$14)/$P$9,"")</f>
        <v/>
      </c>
      <c r="M875" s="14">
        <f t="shared" si="13"/>
        <v>0</v>
      </c>
    </row>
    <row r="876" spans="2:13" x14ac:dyDescent="0.25">
      <c r="B876" s="10" t="str">
        <f>IF('Importér data'!C887="type",'Importér data'!F887,"")</f>
        <v/>
      </c>
      <c r="C876" s="10">
        <f>'Importér data'!H887</f>
        <v>0</v>
      </c>
      <c r="D876" s="32" t="str">
        <f>IF('Importér data'!C887="type",'Importér data'!N887,"")</f>
        <v/>
      </c>
      <c r="E876" s="24"/>
      <c r="F876" s="45"/>
      <c r="G876" s="45"/>
      <c r="H876" s="24"/>
      <c r="I876" s="25" t="str">
        <f>IFERROR(($D876/50-_xlfn.XLOOKUP($E876,$O$35:$O$43,$T$35:$T$43)*F876)/$P$9,"")</f>
        <v/>
      </c>
      <c r="J876" s="25" t="str">
        <f>IFERROR(_xlfn.XLOOKUP($E876,$O$35:$O$43,$T$35:$T$43)*G876/$P$9,"")</f>
        <v/>
      </c>
      <c r="K876" s="25" t="str">
        <f>IF(E876=$O$43,($D876/50-$T$43*$P$9)/$P$9,"")</f>
        <v/>
      </c>
      <c r="L876" s="25" t="str">
        <f>IFERROR(($D876/50-_xlfn.XLOOKUP($H876,$O$48:$O$62,$T$48:$T$62)*$P$14)/$P$9,"")</f>
        <v/>
      </c>
      <c r="M876" s="14">
        <f t="shared" si="13"/>
        <v>0</v>
      </c>
    </row>
    <row r="877" spans="2:13" x14ac:dyDescent="0.25">
      <c r="B877" s="10" t="str">
        <f>IF('Importér data'!C888="type",'Importér data'!F888,"")</f>
        <v/>
      </c>
      <c r="C877" s="10">
        <f>'Importér data'!H888</f>
        <v>0</v>
      </c>
      <c r="D877" s="32" t="str">
        <f>IF('Importér data'!C888="type",'Importér data'!N888,"")</f>
        <v/>
      </c>
      <c r="E877" s="24"/>
      <c r="F877" s="45"/>
      <c r="G877" s="45"/>
      <c r="H877" s="24"/>
      <c r="I877" s="25" t="str">
        <f>IFERROR(($D877/50-_xlfn.XLOOKUP($E877,$O$35:$O$43,$T$35:$T$43)*F877)/$P$9,"")</f>
        <v/>
      </c>
      <c r="J877" s="25" t="str">
        <f>IFERROR(_xlfn.XLOOKUP($E877,$O$35:$O$43,$T$35:$T$43)*G877/$P$9,"")</f>
        <v/>
      </c>
      <c r="K877" s="25" t="str">
        <f>IF(E877=$O$43,($D877/50-$T$43*$P$9)/$P$9,"")</f>
        <v/>
      </c>
      <c r="L877" s="25" t="str">
        <f>IFERROR(($D877/50-_xlfn.XLOOKUP($H877,$O$48:$O$62,$T$48:$T$62)*$P$14)/$P$9,"")</f>
        <v/>
      </c>
      <c r="M877" s="14">
        <f t="shared" si="13"/>
        <v>0</v>
      </c>
    </row>
    <row r="878" spans="2:13" x14ac:dyDescent="0.25">
      <c r="B878" s="10" t="str">
        <f>IF('Importér data'!C889="type",'Importér data'!F889,"")</f>
        <v/>
      </c>
      <c r="C878" s="10">
        <f>'Importér data'!H889</f>
        <v>0</v>
      </c>
      <c r="D878" s="32" t="str">
        <f>IF('Importér data'!C889="type",'Importér data'!N889,"")</f>
        <v/>
      </c>
      <c r="E878" s="24"/>
      <c r="F878" s="45"/>
      <c r="G878" s="45"/>
      <c r="H878" s="24"/>
      <c r="I878" s="25" t="str">
        <f>IFERROR(($D878/50-_xlfn.XLOOKUP($E878,$O$35:$O$43,$T$35:$T$43)*F878)/$P$9,"")</f>
        <v/>
      </c>
      <c r="J878" s="25" t="str">
        <f>IFERROR(_xlfn.XLOOKUP($E878,$O$35:$O$43,$T$35:$T$43)*G878/$P$9,"")</f>
        <v/>
      </c>
      <c r="K878" s="25" t="str">
        <f>IF(E878=$O$43,($D878/50-$T$43*$P$9)/$P$9,"")</f>
        <v/>
      </c>
      <c r="L878" s="25" t="str">
        <f>IFERROR(($D878/50-_xlfn.XLOOKUP($H878,$O$48:$O$62,$T$48:$T$62)*$P$14)/$P$9,"")</f>
        <v/>
      </c>
      <c r="M878" s="14">
        <f t="shared" si="13"/>
        <v>0</v>
      </c>
    </row>
    <row r="879" spans="2:13" x14ac:dyDescent="0.25">
      <c r="B879" s="10" t="str">
        <f>IF('Importér data'!C890="type",'Importér data'!F890,"")</f>
        <v/>
      </c>
      <c r="C879" s="10">
        <f>'Importér data'!H890</f>
        <v>0</v>
      </c>
      <c r="D879" s="32" t="str">
        <f>IF('Importér data'!C890="type",'Importér data'!N890,"")</f>
        <v/>
      </c>
      <c r="E879" s="24"/>
      <c r="F879" s="45"/>
      <c r="G879" s="45"/>
      <c r="H879" s="24"/>
      <c r="I879" s="25" t="str">
        <f>IFERROR(($D879/50-_xlfn.XLOOKUP($E879,$O$35:$O$43,$T$35:$T$43)*F879)/$P$9,"")</f>
        <v/>
      </c>
      <c r="J879" s="25" t="str">
        <f>IFERROR(_xlfn.XLOOKUP($E879,$O$35:$O$43,$T$35:$T$43)*G879/$P$9,"")</f>
        <v/>
      </c>
      <c r="K879" s="25" t="str">
        <f>IF(E879=$O$43,($D879/50-$T$43*$P$9)/$P$9,"")</f>
        <v/>
      </c>
      <c r="L879" s="25" t="str">
        <f>IFERROR(($D879/50-_xlfn.XLOOKUP($H879,$O$48:$O$62,$T$48:$T$62)*$P$14)/$P$9,"")</f>
        <v/>
      </c>
      <c r="M879" s="14">
        <f t="shared" si="13"/>
        <v>0</v>
      </c>
    </row>
    <row r="880" spans="2:13" x14ac:dyDescent="0.25">
      <c r="B880" s="10" t="str">
        <f>IF('Importér data'!C891="type",'Importér data'!F891,"")</f>
        <v/>
      </c>
      <c r="C880" s="10">
        <f>'Importér data'!H891</f>
        <v>0</v>
      </c>
      <c r="D880" s="32" t="str">
        <f>IF('Importér data'!C891="type",'Importér data'!N891,"")</f>
        <v/>
      </c>
      <c r="E880" s="24"/>
      <c r="F880" s="45"/>
      <c r="G880" s="45"/>
      <c r="H880" s="24"/>
      <c r="I880" s="25" t="str">
        <f>IFERROR(($D880/50-_xlfn.XLOOKUP($E880,$O$35:$O$43,$T$35:$T$43)*F880)/$P$9,"")</f>
        <v/>
      </c>
      <c r="J880" s="25" t="str">
        <f>IFERROR(_xlfn.XLOOKUP($E880,$O$35:$O$43,$T$35:$T$43)*G880/$P$9,"")</f>
        <v/>
      </c>
      <c r="K880" s="25" t="str">
        <f>IF(E880=$O$43,($D880/50-$T$43*$P$9)/$P$9,"")</f>
        <v/>
      </c>
      <c r="L880" s="25" t="str">
        <f>IFERROR(($D880/50-_xlfn.XLOOKUP($H880,$O$48:$O$62,$T$48:$T$62)*$P$14)/$P$9,"")</f>
        <v/>
      </c>
      <c r="M880" s="14">
        <f t="shared" si="13"/>
        <v>0</v>
      </c>
    </row>
    <row r="881" spans="2:13" x14ac:dyDescent="0.25">
      <c r="B881" s="10" t="str">
        <f>IF('Importér data'!C892="type",'Importér data'!F892,"")</f>
        <v/>
      </c>
      <c r="C881" s="10">
        <f>'Importér data'!H892</f>
        <v>0</v>
      </c>
      <c r="D881" s="32" t="str">
        <f>IF('Importér data'!C892="type",'Importér data'!N892,"")</f>
        <v/>
      </c>
      <c r="E881" s="24"/>
      <c r="F881" s="45"/>
      <c r="G881" s="45"/>
      <c r="H881" s="24"/>
      <c r="I881" s="25" t="str">
        <f>IFERROR(($D881/50-_xlfn.XLOOKUP($E881,$O$35:$O$43,$T$35:$T$43)*F881)/$P$9,"")</f>
        <v/>
      </c>
      <c r="J881" s="25" t="str">
        <f>IFERROR(_xlfn.XLOOKUP($E881,$O$35:$O$43,$T$35:$T$43)*G881/$P$9,"")</f>
        <v/>
      </c>
      <c r="K881" s="25" t="str">
        <f>IF(E881=$O$43,($D881/50-$T$43*$P$9)/$P$9,"")</f>
        <v/>
      </c>
      <c r="L881" s="25" t="str">
        <f>IFERROR(($D881/50-_xlfn.XLOOKUP($H881,$O$48:$O$62,$T$48:$T$62)*$P$14)/$P$9,"")</f>
        <v/>
      </c>
      <c r="M881" s="14">
        <f t="shared" si="13"/>
        <v>0</v>
      </c>
    </row>
    <row r="882" spans="2:13" x14ac:dyDescent="0.25">
      <c r="B882" s="10" t="str">
        <f>IF('Importér data'!C893="type",'Importér data'!F893,"")</f>
        <v/>
      </c>
      <c r="C882" s="10">
        <f>'Importér data'!H893</f>
        <v>0</v>
      </c>
      <c r="D882" s="32" t="str">
        <f>IF('Importér data'!C893="type",'Importér data'!N893,"")</f>
        <v/>
      </c>
      <c r="E882" s="24"/>
      <c r="F882" s="45"/>
      <c r="G882" s="45"/>
      <c r="H882" s="24"/>
      <c r="I882" s="25" t="str">
        <f>IFERROR(($D882/50-_xlfn.XLOOKUP($E882,$O$35:$O$43,$T$35:$T$43)*F882)/$P$9,"")</f>
        <v/>
      </c>
      <c r="J882" s="25" t="str">
        <f>IFERROR(_xlfn.XLOOKUP($E882,$O$35:$O$43,$T$35:$T$43)*G882/$P$9,"")</f>
        <v/>
      </c>
      <c r="K882" s="25" t="str">
        <f>IF(E882=$O$43,($D882/50-$T$43*$P$9)/$P$9,"")</f>
        <v/>
      </c>
      <c r="L882" s="25" t="str">
        <f>IFERROR(($D882/50-_xlfn.XLOOKUP($H882,$O$48:$O$62,$T$48:$T$62)*$P$14)/$P$9,"")</f>
        <v/>
      </c>
      <c r="M882" s="14">
        <f t="shared" si="13"/>
        <v>0</v>
      </c>
    </row>
    <row r="883" spans="2:13" x14ac:dyDescent="0.25">
      <c r="B883" s="10" t="str">
        <f>IF('Importér data'!C894="type",'Importér data'!F894,"")</f>
        <v/>
      </c>
      <c r="C883" s="10">
        <f>'Importér data'!H894</f>
        <v>0</v>
      </c>
      <c r="D883" s="32" t="str">
        <f>IF('Importér data'!C894="type",'Importér data'!N894,"")</f>
        <v/>
      </c>
      <c r="E883" s="24"/>
      <c r="F883" s="45"/>
      <c r="G883" s="45"/>
      <c r="H883" s="24"/>
      <c r="I883" s="25" t="str">
        <f>IFERROR(($D883/50-_xlfn.XLOOKUP($E883,$O$35:$O$43,$T$35:$T$43)*F883)/$P$9,"")</f>
        <v/>
      </c>
      <c r="J883" s="25" t="str">
        <f>IFERROR(_xlfn.XLOOKUP($E883,$O$35:$O$43,$T$35:$T$43)*G883/$P$9,"")</f>
        <v/>
      </c>
      <c r="K883" s="25" t="str">
        <f>IF(E883=$O$43,($D883/50-$T$43*$P$9)/$P$9,"")</f>
        <v/>
      </c>
      <c r="L883" s="25" t="str">
        <f>IFERROR(($D883/50-_xlfn.XLOOKUP($H883,$O$48:$O$62,$T$48:$T$62)*$P$14)/$P$9,"")</f>
        <v/>
      </c>
      <c r="M883" s="14">
        <f t="shared" si="13"/>
        <v>0</v>
      </c>
    </row>
    <row r="884" spans="2:13" x14ac:dyDescent="0.25">
      <c r="B884" s="10" t="str">
        <f>IF('Importér data'!C895="type",'Importér data'!F895,"")</f>
        <v/>
      </c>
      <c r="C884" s="10">
        <f>'Importér data'!H895</f>
        <v>0</v>
      </c>
      <c r="D884" s="32" t="str">
        <f>IF('Importér data'!C895="type",'Importér data'!N895,"")</f>
        <v/>
      </c>
      <c r="E884" s="24"/>
      <c r="F884" s="45"/>
      <c r="G884" s="45"/>
      <c r="H884" s="24"/>
      <c r="I884" s="25" t="str">
        <f>IFERROR(($D884/50-_xlfn.XLOOKUP($E884,$O$35:$O$43,$T$35:$T$43)*F884)/$P$9,"")</f>
        <v/>
      </c>
      <c r="J884" s="25" t="str">
        <f>IFERROR(_xlfn.XLOOKUP($E884,$O$35:$O$43,$T$35:$T$43)*G884/$P$9,"")</f>
        <v/>
      </c>
      <c r="K884" s="25" t="str">
        <f>IF(E884=$O$43,($D884/50-$T$43*$P$9)/$P$9,"")</f>
        <v/>
      </c>
      <c r="L884" s="25" t="str">
        <f>IFERROR(($D884/50-_xlfn.XLOOKUP($H884,$O$48:$O$62,$T$48:$T$62)*$P$14)/$P$9,"")</f>
        <v/>
      </c>
      <c r="M884" s="14">
        <f t="shared" si="13"/>
        <v>0</v>
      </c>
    </row>
    <row r="885" spans="2:13" x14ac:dyDescent="0.25">
      <c r="B885" s="10" t="str">
        <f>IF('Importér data'!C896="type",'Importér data'!F896,"")</f>
        <v/>
      </c>
      <c r="C885" s="10">
        <f>'Importér data'!H896</f>
        <v>0</v>
      </c>
      <c r="D885" s="32" t="str">
        <f>IF('Importér data'!C896="type",'Importér data'!N896,"")</f>
        <v/>
      </c>
      <c r="E885" s="24"/>
      <c r="F885" s="45"/>
      <c r="G885" s="45"/>
      <c r="H885" s="24"/>
      <c r="I885" s="25" t="str">
        <f>IFERROR(($D885/50-_xlfn.XLOOKUP($E885,$O$35:$O$43,$T$35:$T$43)*F885)/$P$9,"")</f>
        <v/>
      </c>
      <c r="J885" s="25" t="str">
        <f>IFERROR(_xlfn.XLOOKUP($E885,$O$35:$O$43,$T$35:$T$43)*G885/$P$9,"")</f>
        <v/>
      </c>
      <c r="K885" s="25" t="str">
        <f>IF(E885=$O$43,($D885/50-$T$43*$P$9)/$P$9,"")</f>
        <v/>
      </c>
      <c r="L885" s="25" t="str">
        <f>IFERROR(($D885/50-_xlfn.XLOOKUP($H885,$O$48:$O$62,$T$48:$T$62)*$P$14)/$P$9,"")</f>
        <v/>
      </c>
      <c r="M885" s="14">
        <f t="shared" si="13"/>
        <v>0</v>
      </c>
    </row>
    <row r="886" spans="2:13" x14ac:dyDescent="0.25">
      <c r="B886" s="10" t="str">
        <f>IF('Importér data'!C897="type",'Importér data'!F897,"")</f>
        <v/>
      </c>
      <c r="C886" s="10">
        <f>'Importér data'!H897</f>
        <v>0</v>
      </c>
      <c r="D886" s="32" t="str">
        <f>IF('Importér data'!C897="type",'Importér data'!N897,"")</f>
        <v/>
      </c>
      <c r="E886" s="24"/>
      <c r="F886" s="45"/>
      <c r="G886" s="45"/>
      <c r="H886" s="24"/>
      <c r="I886" s="25" t="str">
        <f>IFERROR(($D886/50-_xlfn.XLOOKUP($E886,$O$35:$O$43,$T$35:$T$43)*F886)/$P$9,"")</f>
        <v/>
      </c>
      <c r="J886" s="25" t="str">
        <f>IFERROR(_xlfn.XLOOKUP($E886,$O$35:$O$43,$T$35:$T$43)*G886/$P$9,"")</f>
        <v/>
      </c>
      <c r="K886" s="25" t="str">
        <f>IF(E886=$O$43,($D886/50-$T$43*$P$9)/$P$9,"")</f>
        <v/>
      </c>
      <c r="L886" s="25" t="str">
        <f>IFERROR(($D886/50-_xlfn.XLOOKUP($H886,$O$48:$O$62,$T$48:$T$62)*$P$14)/$P$9,"")</f>
        <v/>
      </c>
      <c r="M886" s="14">
        <f t="shared" si="13"/>
        <v>0</v>
      </c>
    </row>
    <row r="887" spans="2:13" x14ac:dyDescent="0.25">
      <c r="B887" s="10" t="str">
        <f>IF('Importér data'!C898="type",'Importér data'!F898,"")</f>
        <v/>
      </c>
      <c r="C887" s="10">
        <f>'Importér data'!H898</f>
        <v>0</v>
      </c>
      <c r="D887" s="32" t="str">
        <f>IF('Importér data'!C898="type",'Importér data'!N898,"")</f>
        <v/>
      </c>
      <c r="E887" s="24"/>
      <c r="F887" s="45"/>
      <c r="G887" s="45"/>
      <c r="H887" s="24"/>
      <c r="I887" s="25" t="str">
        <f>IFERROR(($D887/50-_xlfn.XLOOKUP($E887,$O$35:$O$43,$T$35:$T$43)*F887)/$P$9,"")</f>
        <v/>
      </c>
      <c r="J887" s="25" t="str">
        <f>IFERROR(_xlfn.XLOOKUP($E887,$O$35:$O$43,$T$35:$T$43)*G887/$P$9,"")</f>
        <v/>
      </c>
      <c r="K887" s="25" t="str">
        <f>IF(E887=$O$43,($D887/50-$T$43*$P$9)/$P$9,"")</f>
        <v/>
      </c>
      <c r="L887" s="25" t="str">
        <f>IFERROR(($D887/50-_xlfn.XLOOKUP($H887,$O$48:$O$62,$T$48:$T$62)*$P$14)/$P$9,"")</f>
        <v/>
      </c>
      <c r="M887" s="14">
        <f t="shared" si="13"/>
        <v>0</v>
      </c>
    </row>
    <row r="888" spans="2:13" x14ac:dyDescent="0.25">
      <c r="B888" s="10" t="str">
        <f>IF('Importér data'!C899="type",'Importér data'!F899,"")</f>
        <v/>
      </c>
      <c r="C888" s="10">
        <f>'Importér data'!H899</f>
        <v>0</v>
      </c>
      <c r="D888" s="32" t="str">
        <f>IF('Importér data'!C899="type",'Importér data'!N899,"")</f>
        <v/>
      </c>
      <c r="E888" s="24"/>
      <c r="F888" s="45"/>
      <c r="G888" s="45"/>
      <c r="H888" s="24"/>
      <c r="I888" s="25" t="str">
        <f>IFERROR(($D888/50-_xlfn.XLOOKUP($E888,$O$35:$O$43,$T$35:$T$43)*F888)/$P$9,"")</f>
        <v/>
      </c>
      <c r="J888" s="25" t="str">
        <f>IFERROR(_xlfn.XLOOKUP($E888,$O$35:$O$43,$T$35:$T$43)*G888/$P$9,"")</f>
        <v/>
      </c>
      <c r="K888" s="25" t="str">
        <f>IF(E888=$O$43,($D888/50-$T$43*$P$9)/$P$9,"")</f>
        <v/>
      </c>
      <c r="L888" s="25" t="str">
        <f>IFERROR(($D888/50-_xlfn.XLOOKUP($H888,$O$48:$O$62,$T$48:$T$62)*$P$14)/$P$9,"")</f>
        <v/>
      </c>
      <c r="M888" s="14">
        <f t="shared" si="13"/>
        <v>0</v>
      </c>
    </row>
    <row r="889" spans="2:13" x14ac:dyDescent="0.25">
      <c r="B889" s="10" t="str">
        <f>IF('Importér data'!C900="type",'Importér data'!F900,"")</f>
        <v/>
      </c>
      <c r="C889" s="10">
        <f>'Importér data'!H900</f>
        <v>0</v>
      </c>
      <c r="D889" s="32" t="str">
        <f>IF('Importér data'!C900="type",'Importér data'!N900,"")</f>
        <v/>
      </c>
      <c r="E889" s="24"/>
      <c r="F889" s="45"/>
      <c r="G889" s="45"/>
      <c r="H889" s="24"/>
      <c r="I889" s="25" t="str">
        <f>IFERROR(($D889/50-_xlfn.XLOOKUP($E889,$O$35:$O$43,$T$35:$T$43)*F889)/$P$9,"")</f>
        <v/>
      </c>
      <c r="J889" s="25" t="str">
        <f>IFERROR(_xlfn.XLOOKUP($E889,$O$35:$O$43,$T$35:$T$43)*G889/$P$9,"")</f>
        <v/>
      </c>
      <c r="K889" s="25" t="str">
        <f>IF(E889=$O$43,($D889/50-$T$43*$P$9)/$P$9,"")</f>
        <v/>
      </c>
      <c r="L889" s="25" t="str">
        <f>IFERROR(($D889/50-_xlfn.XLOOKUP($H889,$O$48:$O$62,$T$48:$T$62)*$P$14)/$P$9,"")</f>
        <v/>
      </c>
      <c r="M889" s="14">
        <f t="shared" si="13"/>
        <v>0</v>
      </c>
    </row>
    <row r="890" spans="2:13" x14ac:dyDescent="0.25">
      <c r="B890" s="10" t="str">
        <f>IF('Importér data'!C901="type",'Importér data'!F901,"")</f>
        <v/>
      </c>
      <c r="C890" s="10">
        <f>'Importér data'!H901</f>
        <v>0</v>
      </c>
      <c r="D890" s="32" t="str">
        <f>IF('Importér data'!C901="type",'Importér data'!N901,"")</f>
        <v/>
      </c>
      <c r="E890" s="24"/>
      <c r="F890" s="45"/>
      <c r="G890" s="45"/>
      <c r="H890" s="24"/>
      <c r="I890" s="25" t="str">
        <f>IFERROR(($D890/50-_xlfn.XLOOKUP($E890,$O$35:$O$43,$T$35:$T$43)*F890)/$P$9,"")</f>
        <v/>
      </c>
      <c r="J890" s="25" t="str">
        <f>IFERROR(_xlfn.XLOOKUP($E890,$O$35:$O$43,$T$35:$T$43)*G890/$P$9,"")</f>
        <v/>
      </c>
      <c r="K890" s="25" t="str">
        <f>IF(E890=$O$43,($D890/50-$T$43*$P$9)/$P$9,"")</f>
        <v/>
      </c>
      <c r="L890" s="25" t="str">
        <f>IFERROR(($D890/50-_xlfn.XLOOKUP($H890,$O$48:$O$62,$T$48:$T$62)*$P$14)/$P$9,"")</f>
        <v/>
      </c>
      <c r="M890" s="14">
        <f t="shared" si="13"/>
        <v>0</v>
      </c>
    </row>
    <row r="891" spans="2:13" x14ac:dyDescent="0.25">
      <c r="B891" s="10" t="str">
        <f>IF('Importér data'!C902="type",'Importér data'!F902,"")</f>
        <v/>
      </c>
      <c r="C891" s="10">
        <f>'Importér data'!H902</f>
        <v>0</v>
      </c>
      <c r="D891" s="32" t="str">
        <f>IF('Importér data'!C902="type",'Importér data'!N902,"")</f>
        <v/>
      </c>
      <c r="E891" s="24"/>
      <c r="F891" s="45"/>
      <c r="G891" s="45"/>
      <c r="H891" s="24"/>
      <c r="I891" s="25" t="str">
        <f>IFERROR(($D891/50-_xlfn.XLOOKUP($E891,$O$35:$O$43,$T$35:$T$43)*F891)/$P$9,"")</f>
        <v/>
      </c>
      <c r="J891" s="25" t="str">
        <f>IFERROR(_xlfn.XLOOKUP($E891,$O$35:$O$43,$T$35:$T$43)*G891/$P$9,"")</f>
        <v/>
      </c>
      <c r="K891" s="25" t="str">
        <f>IF(E891=$O$43,($D891/50-$T$43*$P$9)/$P$9,"")</f>
        <v/>
      </c>
      <c r="L891" s="25" t="str">
        <f>IFERROR(($D891/50-_xlfn.XLOOKUP($H891,$O$48:$O$62,$T$48:$T$62)*$P$14)/$P$9,"")</f>
        <v/>
      </c>
      <c r="M891" s="14">
        <f t="shared" si="13"/>
        <v>0</v>
      </c>
    </row>
    <row r="892" spans="2:13" x14ac:dyDescent="0.25">
      <c r="B892" s="10" t="str">
        <f>IF('Importér data'!C903="type",'Importér data'!F903,"")</f>
        <v/>
      </c>
      <c r="C892" s="10">
        <f>'Importér data'!H903</f>
        <v>0</v>
      </c>
      <c r="D892" s="32" t="str">
        <f>IF('Importér data'!C903="type",'Importér data'!N903,"")</f>
        <v/>
      </c>
      <c r="E892" s="24"/>
      <c r="F892" s="45"/>
      <c r="G892" s="45"/>
      <c r="H892" s="24"/>
      <c r="I892" s="25" t="str">
        <f>IFERROR(($D892/50-_xlfn.XLOOKUP($E892,$O$35:$O$43,$T$35:$T$43)*F892)/$P$9,"")</f>
        <v/>
      </c>
      <c r="J892" s="25" t="str">
        <f>IFERROR(_xlfn.XLOOKUP($E892,$O$35:$O$43,$T$35:$T$43)*G892/$P$9,"")</f>
        <v/>
      </c>
      <c r="K892" s="25" t="str">
        <f>IF(E892=$O$43,($D892/50-$T$43*$P$9)/$P$9,"")</f>
        <v/>
      </c>
      <c r="L892" s="25" t="str">
        <f>IFERROR(($D892/50-_xlfn.XLOOKUP($H892,$O$48:$O$62,$T$48:$T$62)*$P$14)/$P$9,"")</f>
        <v/>
      </c>
      <c r="M892" s="14">
        <f t="shared" si="13"/>
        <v>0</v>
      </c>
    </row>
    <row r="893" spans="2:13" x14ac:dyDescent="0.25">
      <c r="B893" s="10" t="str">
        <f>IF('Importér data'!C904="type",'Importér data'!F904,"")</f>
        <v/>
      </c>
      <c r="C893" s="10">
        <f>'Importér data'!H904</f>
        <v>0</v>
      </c>
      <c r="D893" s="32" t="str">
        <f>IF('Importér data'!C904="type",'Importér data'!N904,"")</f>
        <v/>
      </c>
      <c r="E893" s="24"/>
      <c r="F893" s="45"/>
      <c r="G893" s="45"/>
      <c r="H893" s="24"/>
      <c r="I893" s="25" t="str">
        <f>IFERROR(($D893/50-_xlfn.XLOOKUP($E893,$O$35:$O$43,$T$35:$T$43)*F893)/$P$9,"")</f>
        <v/>
      </c>
      <c r="J893" s="25" t="str">
        <f>IFERROR(_xlfn.XLOOKUP($E893,$O$35:$O$43,$T$35:$T$43)*G893/$P$9,"")</f>
        <v/>
      </c>
      <c r="K893" s="25" t="str">
        <f>IF(E893=$O$43,($D893/50-$T$43*$P$9)/$P$9,"")</f>
        <v/>
      </c>
      <c r="L893" s="25" t="str">
        <f>IFERROR(($D893/50-_xlfn.XLOOKUP($H893,$O$48:$O$62,$T$48:$T$62)*$P$14)/$P$9,"")</f>
        <v/>
      </c>
      <c r="M893" s="14">
        <f t="shared" si="13"/>
        <v>0</v>
      </c>
    </row>
    <row r="894" spans="2:13" x14ac:dyDescent="0.25">
      <c r="B894" s="10" t="str">
        <f>IF('Importér data'!C905="type",'Importér data'!F905,"")</f>
        <v/>
      </c>
      <c r="C894" s="10">
        <f>'Importér data'!H905</f>
        <v>0</v>
      </c>
      <c r="D894" s="32" t="str">
        <f>IF('Importér data'!C905="type",'Importér data'!N905,"")</f>
        <v/>
      </c>
      <c r="E894" s="24"/>
      <c r="F894" s="45"/>
      <c r="G894" s="45"/>
      <c r="H894" s="24"/>
      <c r="I894" s="25" t="str">
        <f>IFERROR(($D894/50-_xlfn.XLOOKUP($E894,$O$35:$O$43,$T$35:$T$43)*F894)/$P$9,"")</f>
        <v/>
      </c>
      <c r="J894" s="25" t="str">
        <f>IFERROR(_xlfn.XLOOKUP($E894,$O$35:$O$43,$T$35:$T$43)*G894/$P$9,"")</f>
        <v/>
      </c>
      <c r="K894" s="25" t="str">
        <f>IF(E894=$O$43,($D894/50-$T$43*$P$9)/$P$9,"")</f>
        <v/>
      </c>
      <c r="L894" s="25" t="str">
        <f>IFERROR(($D894/50-_xlfn.XLOOKUP($H894,$O$48:$O$62,$T$48:$T$62)*$P$14)/$P$9,"")</f>
        <v/>
      </c>
      <c r="M894" s="14">
        <f t="shared" si="13"/>
        <v>0</v>
      </c>
    </row>
    <row r="895" spans="2:13" x14ac:dyDescent="0.25">
      <c r="B895" s="10" t="str">
        <f>IF('Importér data'!C906="type",'Importér data'!F906,"")</f>
        <v/>
      </c>
      <c r="C895" s="10">
        <f>'Importér data'!H906</f>
        <v>0</v>
      </c>
      <c r="D895" s="32" t="str">
        <f>IF('Importér data'!C906="type",'Importér data'!N906,"")</f>
        <v/>
      </c>
      <c r="E895" s="24"/>
      <c r="F895" s="45"/>
      <c r="G895" s="45"/>
      <c r="H895" s="24"/>
      <c r="I895" s="25" t="str">
        <f>IFERROR(($D895/50-_xlfn.XLOOKUP($E895,$O$35:$O$43,$T$35:$T$43)*F895)/$P$9,"")</f>
        <v/>
      </c>
      <c r="J895" s="25" t="str">
        <f>IFERROR(_xlfn.XLOOKUP($E895,$O$35:$O$43,$T$35:$T$43)*G895/$P$9,"")</f>
        <v/>
      </c>
      <c r="K895" s="25" t="str">
        <f>IF(E895=$O$43,($D895/50-$T$43*$P$9)/$P$9,"")</f>
        <v/>
      </c>
      <c r="L895" s="25" t="str">
        <f>IFERROR(($D895/50-_xlfn.XLOOKUP($H895,$O$48:$O$62,$T$48:$T$62)*$P$14)/$P$9,"")</f>
        <v/>
      </c>
      <c r="M895" s="14">
        <f t="shared" si="13"/>
        <v>0</v>
      </c>
    </row>
    <row r="896" spans="2:13" x14ac:dyDescent="0.25">
      <c r="B896" s="10" t="str">
        <f>IF('Importér data'!C907="type",'Importér data'!F907,"")</f>
        <v/>
      </c>
      <c r="C896" s="10">
        <f>'Importér data'!H907</f>
        <v>0</v>
      </c>
      <c r="D896" s="32" t="str">
        <f>IF('Importér data'!C907="type",'Importér data'!N907,"")</f>
        <v/>
      </c>
      <c r="E896" s="24"/>
      <c r="F896" s="45"/>
      <c r="G896" s="45"/>
      <c r="H896" s="24"/>
      <c r="I896" s="25" t="str">
        <f>IFERROR(($D896/50-_xlfn.XLOOKUP($E896,$O$35:$O$43,$T$35:$T$43)*F896)/$P$9,"")</f>
        <v/>
      </c>
      <c r="J896" s="25" t="str">
        <f>IFERROR(_xlfn.XLOOKUP($E896,$O$35:$O$43,$T$35:$T$43)*G896/$P$9,"")</f>
        <v/>
      </c>
      <c r="K896" s="25" t="str">
        <f>IF(E896=$O$43,($D896/50-$T$43*$P$9)/$P$9,"")</f>
        <v/>
      </c>
      <c r="L896" s="25" t="str">
        <f>IFERROR(($D896/50-_xlfn.XLOOKUP($H896,$O$48:$O$62,$T$48:$T$62)*$P$14)/$P$9,"")</f>
        <v/>
      </c>
      <c r="M896" s="14">
        <f t="shared" si="13"/>
        <v>0</v>
      </c>
    </row>
    <row r="897" spans="2:13" x14ac:dyDescent="0.25">
      <c r="B897" s="10" t="str">
        <f>IF('Importér data'!C908="type",'Importér data'!F908,"")</f>
        <v/>
      </c>
      <c r="C897" s="10">
        <f>'Importér data'!H908</f>
        <v>0</v>
      </c>
      <c r="D897" s="32" t="str">
        <f>IF('Importér data'!C908="type",'Importér data'!N908,"")</f>
        <v/>
      </c>
      <c r="E897" s="24"/>
      <c r="F897" s="45"/>
      <c r="G897" s="45"/>
      <c r="H897" s="24"/>
      <c r="I897" s="25" t="str">
        <f>IFERROR(($D897/50-_xlfn.XLOOKUP($E897,$O$35:$O$43,$T$35:$T$43)*F897)/$P$9,"")</f>
        <v/>
      </c>
      <c r="J897" s="25" t="str">
        <f>IFERROR(_xlfn.XLOOKUP($E897,$O$35:$O$43,$T$35:$T$43)*G897/$P$9,"")</f>
        <v/>
      </c>
      <c r="K897" s="25" t="str">
        <f>IF(E897=$O$43,($D897/50-$T$43*$P$9)/$P$9,"")</f>
        <v/>
      </c>
      <c r="L897" s="25" t="str">
        <f>IFERROR(($D897/50-_xlfn.XLOOKUP($H897,$O$48:$O$62,$T$48:$T$62)*$P$14)/$P$9,"")</f>
        <v/>
      </c>
      <c r="M897" s="14">
        <f t="shared" si="13"/>
        <v>0</v>
      </c>
    </row>
    <row r="898" spans="2:13" x14ac:dyDescent="0.25">
      <c r="B898" s="10" t="str">
        <f>IF('Importér data'!C909="type",'Importér data'!F909,"")</f>
        <v/>
      </c>
      <c r="C898" s="10">
        <f>'Importér data'!H909</f>
        <v>0</v>
      </c>
      <c r="D898" s="32" t="str">
        <f>IF('Importér data'!C909="type",'Importér data'!N909,"")</f>
        <v/>
      </c>
      <c r="E898" s="24"/>
      <c r="F898" s="45"/>
      <c r="G898" s="45"/>
      <c r="H898" s="24"/>
      <c r="I898" s="25" t="str">
        <f>IFERROR(($D898/50-_xlfn.XLOOKUP($E898,$O$35:$O$43,$T$35:$T$43)*F898)/$P$9,"")</f>
        <v/>
      </c>
      <c r="J898" s="25" t="str">
        <f>IFERROR(_xlfn.XLOOKUP($E898,$O$35:$O$43,$T$35:$T$43)*G898/$P$9,"")</f>
        <v/>
      </c>
      <c r="K898" s="25" t="str">
        <f>IF(E898=$O$43,($D898/50-$T$43*$P$9)/$P$9,"")</f>
        <v/>
      </c>
      <c r="L898" s="25" t="str">
        <f>IFERROR(($D898/50-_xlfn.XLOOKUP($H898,$O$48:$O$62,$T$48:$T$62)*$P$14)/$P$9,"")</f>
        <v/>
      </c>
      <c r="M898" s="14">
        <f t="shared" si="13"/>
        <v>0</v>
      </c>
    </row>
    <row r="899" spans="2:13" x14ac:dyDescent="0.25">
      <c r="B899" s="10" t="str">
        <f>IF('Importér data'!C910="type",'Importér data'!F910,"")</f>
        <v/>
      </c>
      <c r="C899" s="10">
        <f>'Importér data'!H910</f>
        <v>0</v>
      </c>
      <c r="D899" s="32" t="str">
        <f>IF('Importér data'!C910="type",'Importér data'!N910,"")</f>
        <v/>
      </c>
      <c r="E899" s="24"/>
      <c r="F899" s="45"/>
      <c r="G899" s="45"/>
      <c r="H899" s="24"/>
      <c r="I899" s="25" t="str">
        <f>IFERROR(($D899/50-_xlfn.XLOOKUP($E899,$O$35:$O$43,$T$35:$T$43)*F899)/$P$9,"")</f>
        <v/>
      </c>
      <c r="J899" s="25" t="str">
        <f>IFERROR(_xlfn.XLOOKUP($E899,$O$35:$O$43,$T$35:$T$43)*G899/$P$9,"")</f>
        <v/>
      </c>
      <c r="K899" s="25" t="str">
        <f>IF(E899=$O$43,($D899/50-$T$43*$P$9)/$P$9,"")</f>
        <v/>
      </c>
      <c r="L899" s="25" t="str">
        <f>IFERROR(($D899/50-_xlfn.XLOOKUP($H899,$O$48:$O$62,$T$48:$T$62)*$P$14)/$P$9,"")</f>
        <v/>
      </c>
      <c r="M899" s="14">
        <f t="shared" si="13"/>
        <v>0</v>
      </c>
    </row>
    <row r="900" spans="2:13" x14ac:dyDescent="0.25">
      <c r="B900" s="10" t="str">
        <f>IF('Importér data'!C911="type",'Importér data'!F911,"")</f>
        <v/>
      </c>
      <c r="C900" s="10">
        <f>'Importér data'!H911</f>
        <v>0</v>
      </c>
      <c r="D900" s="32" t="str">
        <f>IF('Importér data'!C911="type",'Importér data'!N911,"")</f>
        <v/>
      </c>
      <c r="E900" s="24"/>
      <c r="F900" s="45"/>
      <c r="G900" s="45"/>
      <c r="H900" s="24"/>
      <c r="I900" s="25" t="str">
        <f>IFERROR(($D900/50-_xlfn.XLOOKUP($E900,$O$35:$O$43,$T$35:$T$43)*F900)/$P$9,"")</f>
        <v/>
      </c>
      <c r="J900" s="25" t="str">
        <f>IFERROR(_xlfn.XLOOKUP($E900,$O$35:$O$43,$T$35:$T$43)*G900/$P$9,"")</f>
        <v/>
      </c>
      <c r="K900" s="25" t="str">
        <f>IF(E900=$O$43,($D900/50-$T$43*$P$9)/$P$9,"")</f>
        <v/>
      </c>
      <c r="L900" s="25" t="str">
        <f>IFERROR(($D900/50-_xlfn.XLOOKUP($H900,$O$48:$O$62,$T$48:$T$62)*$P$14)/$P$9,"")</f>
        <v/>
      </c>
      <c r="M900" s="14">
        <f t="shared" si="13"/>
        <v>0</v>
      </c>
    </row>
    <row r="901" spans="2:13" x14ac:dyDescent="0.25">
      <c r="B901" s="10" t="str">
        <f>IF('Importér data'!C912="type",'Importér data'!F912,"")</f>
        <v/>
      </c>
      <c r="C901" s="10">
        <f>'Importér data'!H912</f>
        <v>0</v>
      </c>
      <c r="D901" s="32" t="str">
        <f>IF('Importér data'!C912="type",'Importér data'!N912,"")</f>
        <v/>
      </c>
      <c r="E901" s="24"/>
      <c r="F901" s="45"/>
      <c r="G901" s="45"/>
      <c r="H901" s="24"/>
      <c r="I901" s="25" t="str">
        <f>IFERROR(($D901/50-_xlfn.XLOOKUP($E901,$O$35:$O$43,$T$35:$T$43)*F901)/$P$9,"")</f>
        <v/>
      </c>
      <c r="J901" s="25" t="str">
        <f>IFERROR(_xlfn.XLOOKUP($E901,$O$35:$O$43,$T$35:$T$43)*G901/$P$9,"")</f>
        <v/>
      </c>
      <c r="K901" s="25" t="str">
        <f>IF(E901=$O$43,($D901/50-$T$43*$P$9)/$P$9,"")</f>
        <v/>
      </c>
      <c r="L901" s="25" t="str">
        <f>IFERROR(($D901/50-_xlfn.XLOOKUP($H901,$O$48:$O$62,$T$48:$T$62)*$P$14)/$P$9,"")</f>
        <v/>
      </c>
      <c r="M901" s="14">
        <f t="shared" si="13"/>
        <v>0</v>
      </c>
    </row>
    <row r="902" spans="2:13" x14ac:dyDescent="0.25">
      <c r="B902" s="10" t="str">
        <f>IF('Importér data'!C913="type",'Importér data'!F913,"")</f>
        <v/>
      </c>
      <c r="C902" s="10">
        <f>'Importér data'!H913</f>
        <v>0</v>
      </c>
      <c r="D902" s="32" t="str">
        <f>IF('Importér data'!C913="type",'Importér data'!N913,"")</f>
        <v/>
      </c>
      <c r="E902" s="24"/>
      <c r="F902" s="45"/>
      <c r="G902" s="45"/>
      <c r="H902" s="24"/>
      <c r="I902" s="25" t="str">
        <f>IFERROR(($D902/50-_xlfn.XLOOKUP($E902,$O$35:$O$43,$T$35:$T$43)*F902)/$P$9,"")</f>
        <v/>
      </c>
      <c r="J902" s="25" t="str">
        <f>IFERROR(_xlfn.XLOOKUP($E902,$O$35:$O$43,$T$35:$T$43)*G902/$P$9,"")</f>
        <v/>
      </c>
      <c r="K902" s="25" t="str">
        <f>IF(E902=$O$43,($D902/50-$T$43*$P$9)/$P$9,"")</f>
        <v/>
      </c>
      <c r="L902" s="25" t="str">
        <f>IFERROR(($D902/50-_xlfn.XLOOKUP($H902,$O$48:$O$62,$T$48:$T$62)*$P$14)/$P$9,"")</f>
        <v/>
      </c>
      <c r="M902" s="14">
        <f t="shared" ref="M902:M965" si="14">SUM(I902:L902)</f>
        <v>0</v>
      </c>
    </row>
    <row r="903" spans="2:13" x14ac:dyDescent="0.25">
      <c r="B903" s="10" t="str">
        <f>IF('Importér data'!C914="type",'Importér data'!F914,"")</f>
        <v/>
      </c>
      <c r="C903" s="10">
        <f>'Importér data'!H914</f>
        <v>0</v>
      </c>
      <c r="D903" s="32" t="str">
        <f>IF('Importér data'!C914="type",'Importér data'!N914,"")</f>
        <v/>
      </c>
      <c r="E903" s="24"/>
      <c r="F903" s="45"/>
      <c r="G903" s="45"/>
      <c r="H903" s="24"/>
      <c r="I903" s="25" t="str">
        <f>IFERROR(($D903/50-_xlfn.XLOOKUP($E903,$O$35:$O$43,$T$35:$T$43)*F903)/$P$9,"")</f>
        <v/>
      </c>
      <c r="J903" s="25" t="str">
        <f>IFERROR(_xlfn.XLOOKUP($E903,$O$35:$O$43,$T$35:$T$43)*G903/$P$9,"")</f>
        <v/>
      </c>
      <c r="K903" s="25" t="str">
        <f>IF(E903=$O$43,($D903/50-$T$43*$P$9)/$P$9,"")</f>
        <v/>
      </c>
      <c r="L903" s="25" t="str">
        <f>IFERROR(($D903/50-_xlfn.XLOOKUP($H903,$O$48:$O$62,$T$48:$T$62)*$P$14)/$P$9,"")</f>
        <v/>
      </c>
      <c r="M903" s="14">
        <f t="shared" si="14"/>
        <v>0</v>
      </c>
    </row>
    <row r="904" spans="2:13" x14ac:dyDescent="0.25">
      <c r="B904" s="10" t="str">
        <f>IF('Importér data'!C915="type",'Importér data'!F915,"")</f>
        <v/>
      </c>
      <c r="C904" s="10">
        <f>'Importér data'!H915</f>
        <v>0</v>
      </c>
      <c r="D904" s="32" t="str">
        <f>IF('Importér data'!C915="type",'Importér data'!N915,"")</f>
        <v/>
      </c>
      <c r="E904" s="24"/>
      <c r="F904" s="45"/>
      <c r="G904" s="45"/>
      <c r="H904" s="24"/>
      <c r="I904" s="25" t="str">
        <f>IFERROR(($D904/50-_xlfn.XLOOKUP($E904,$O$35:$O$43,$T$35:$T$43)*F904)/$P$9,"")</f>
        <v/>
      </c>
      <c r="J904" s="25" t="str">
        <f>IFERROR(_xlfn.XLOOKUP($E904,$O$35:$O$43,$T$35:$T$43)*G904/$P$9,"")</f>
        <v/>
      </c>
      <c r="K904" s="25" t="str">
        <f>IF(E904=$O$43,($D904/50-$T$43*$P$9)/$P$9,"")</f>
        <v/>
      </c>
      <c r="L904" s="25" t="str">
        <f>IFERROR(($D904/50-_xlfn.XLOOKUP($H904,$O$48:$O$62,$T$48:$T$62)*$P$14)/$P$9,"")</f>
        <v/>
      </c>
      <c r="M904" s="14">
        <f t="shared" si="14"/>
        <v>0</v>
      </c>
    </row>
    <row r="905" spans="2:13" x14ac:dyDescent="0.25">
      <c r="B905" s="10" t="str">
        <f>IF('Importér data'!C916="type",'Importér data'!F916,"")</f>
        <v/>
      </c>
      <c r="C905" s="10">
        <f>'Importér data'!H916</f>
        <v>0</v>
      </c>
      <c r="D905" s="32" t="str">
        <f>IF('Importér data'!C916="type",'Importér data'!N916,"")</f>
        <v/>
      </c>
      <c r="E905" s="24"/>
      <c r="F905" s="45"/>
      <c r="G905" s="45"/>
      <c r="H905" s="24"/>
      <c r="I905" s="25" t="str">
        <f>IFERROR(($D905/50-_xlfn.XLOOKUP($E905,$O$35:$O$43,$T$35:$T$43)*F905)/$P$9,"")</f>
        <v/>
      </c>
      <c r="J905" s="25" t="str">
        <f>IFERROR(_xlfn.XLOOKUP($E905,$O$35:$O$43,$T$35:$T$43)*G905/$P$9,"")</f>
        <v/>
      </c>
      <c r="K905" s="25" t="str">
        <f>IF(E905=$O$43,($D905/50-$T$43*$P$9)/$P$9,"")</f>
        <v/>
      </c>
      <c r="L905" s="25" t="str">
        <f>IFERROR(($D905/50-_xlfn.XLOOKUP($H905,$O$48:$O$62,$T$48:$T$62)*$P$14)/$P$9,"")</f>
        <v/>
      </c>
      <c r="M905" s="14">
        <f t="shared" si="14"/>
        <v>0</v>
      </c>
    </row>
    <row r="906" spans="2:13" x14ac:dyDescent="0.25">
      <c r="B906" s="10" t="str">
        <f>IF('Importér data'!C917="type",'Importér data'!F917,"")</f>
        <v/>
      </c>
      <c r="C906" s="10">
        <f>'Importér data'!H917</f>
        <v>0</v>
      </c>
      <c r="D906" s="32" t="str">
        <f>IF('Importér data'!C917="type",'Importér data'!N917,"")</f>
        <v/>
      </c>
      <c r="E906" s="24"/>
      <c r="F906" s="45"/>
      <c r="G906" s="45"/>
      <c r="H906" s="24"/>
      <c r="I906" s="25" t="str">
        <f>IFERROR(($D906/50-_xlfn.XLOOKUP($E906,$O$35:$O$43,$T$35:$T$43)*F906)/$P$9,"")</f>
        <v/>
      </c>
      <c r="J906" s="25" t="str">
        <f>IFERROR(_xlfn.XLOOKUP($E906,$O$35:$O$43,$T$35:$T$43)*G906/$P$9,"")</f>
        <v/>
      </c>
      <c r="K906" s="25" t="str">
        <f>IF(E906=$O$43,($D906/50-$T$43*$P$9)/$P$9,"")</f>
        <v/>
      </c>
      <c r="L906" s="25" t="str">
        <f>IFERROR(($D906/50-_xlfn.XLOOKUP($H906,$O$48:$O$62,$T$48:$T$62)*$P$14)/$P$9,"")</f>
        <v/>
      </c>
      <c r="M906" s="14">
        <f t="shared" si="14"/>
        <v>0</v>
      </c>
    </row>
    <row r="907" spans="2:13" x14ac:dyDescent="0.25">
      <c r="B907" s="10" t="str">
        <f>IF('Importér data'!C918="type",'Importér data'!F918,"")</f>
        <v/>
      </c>
      <c r="C907" s="10">
        <f>'Importér data'!H918</f>
        <v>0</v>
      </c>
      <c r="D907" s="32" t="str">
        <f>IF('Importér data'!C918="type",'Importér data'!N918,"")</f>
        <v/>
      </c>
      <c r="E907" s="24"/>
      <c r="F907" s="45"/>
      <c r="G907" s="45"/>
      <c r="H907" s="24"/>
      <c r="I907" s="25" t="str">
        <f>IFERROR(($D907/50-_xlfn.XLOOKUP($E907,$O$35:$O$43,$T$35:$T$43)*F907)/$P$9,"")</f>
        <v/>
      </c>
      <c r="J907" s="25" t="str">
        <f>IFERROR(_xlfn.XLOOKUP($E907,$O$35:$O$43,$T$35:$T$43)*G907/$P$9,"")</f>
        <v/>
      </c>
      <c r="K907" s="25" t="str">
        <f>IF(E907=$O$43,($D907/50-$T$43*$P$9)/$P$9,"")</f>
        <v/>
      </c>
      <c r="L907" s="25" t="str">
        <f>IFERROR(($D907/50-_xlfn.XLOOKUP($H907,$O$48:$O$62,$T$48:$T$62)*$P$14)/$P$9,"")</f>
        <v/>
      </c>
      <c r="M907" s="14">
        <f t="shared" si="14"/>
        <v>0</v>
      </c>
    </row>
    <row r="908" spans="2:13" x14ac:dyDescent="0.25">
      <c r="B908" s="10" t="str">
        <f>IF('Importér data'!C919="type",'Importér data'!F919,"")</f>
        <v/>
      </c>
      <c r="C908" s="10">
        <f>'Importér data'!H919</f>
        <v>0</v>
      </c>
      <c r="D908" s="32" t="str">
        <f>IF('Importér data'!C919="type",'Importér data'!N919,"")</f>
        <v/>
      </c>
      <c r="E908" s="24"/>
      <c r="F908" s="45"/>
      <c r="G908" s="45"/>
      <c r="H908" s="24"/>
      <c r="I908" s="25" t="str">
        <f>IFERROR(($D908/50-_xlfn.XLOOKUP($E908,$O$35:$O$43,$T$35:$T$43)*F908)/$P$9,"")</f>
        <v/>
      </c>
      <c r="J908" s="25" t="str">
        <f>IFERROR(_xlfn.XLOOKUP($E908,$O$35:$O$43,$T$35:$T$43)*G908/$P$9,"")</f>
        <v/>
      </c>
      <c r="K908" s="25" t="str">
        <f>IF(E908=$O$43,($D908/50-$T$43*$P$9)/$P$9,"")</f>
        <v/>
      </c>
      <c r="L908" s="25" t="str">
        <f>IFERROR(($D908/50-_xlfn.XLOOKUP($H908,$O$48:$O$62,$T$48:$T$62)*$P$14)/$P$9,"")</f>
        <v/>
      </c>
      <c r="M908" s="14">
        <f t="shared" si="14"/>
        <v>0</v>
      </c>
    </row>
    <row r="909" spans="2:13" x14ac:dyDescent="0.25">
      <c r="B909" s="10" t="str">
        <f>IF('Importér data'!C920="type",'Importér data'!F920,"")</f>
        <v/>
      </c>
      <c r="C909" s="10">
        <f>'Importér data'!H920</f>
        <v>0</v>
      </c>
      <c r="D909" s="32" t="str">
        <f>IF('Importér data'!C920="type",'Importér data'!N920,"")</f>
        <v/>
      </c>
      <c r="E909" s="24"/>
      <c r="F909" s="45"/>
      <c r="G909" s="45"/>
      <c r="H909" s="24"/>
      <c r="I909" s="25" t="str">
        <f>IFERROR(($D909/50-_xlfn.XLOOKUP($E909,$O$35:$O$43,$T$35:$T$43)*F909)/$P$9,"")</f>
        <v/>
      </c>
      <c r="J909" s="25" t="str">
        <f>IFERROR(_xlfn.XLOOKUP($E909,$O$35:$O$43,$T$35:$T$43)*G909/$P$9,"")</f>
        <v/>
      </c>
      <c r="K909" s="25" t="str">
        <f>IF(E909=$O$43,($D909/50-$T$43*$P$9)/$P$9,"")</f>
        <v/>
      </c>
      <c r="L909" s="25" t="str">
        <f>IFERROR(($D909/50-_xlfn.XLOOKUP($H909,$O$48:$O$62,$T$48:$T$62)*$P$14)/$P$9,"")</f>
        <v/>
      </c>
      <c r="M909" s="14">
        <f t="shared" si="14"/>
        <v>0</v>
      </c>
    </row>
    <row r="910" spans="2:13" x14ac:dyDescent="0.25">
      <c r="B910" s="10" t="str">
        <f>IF('Importér data'!C921="type",'Importér data'!F921,"")</f>
        <v/>
      </c>
      <c r="C910" s="10">
        <f>'Importér data'!H921</f>
        <v>0</v>
      </c>
      <c r="D910" s="32" t="str">
        <f>IF('Importér data'!C921="type",'Importér data'!N921,"")</f>
        <v/>
      </c>
      <c r="E910" s="24"/>
      <c r="F910" s="45"/>
      <c r="G910" s="45"/>
      <c r="H910" s="24"/>
      <c r="I910" s="25" t="str">
        <f>IFERROR(($D910/50-_xlfn.XLOOKUP($E910,$O$35:$O$43,$T$35:$T$43)*F910)/$P$9,"")</f>
        <v/>
      </c>
      <c r="J910" s="25" t="str">
        <f>IFERROR(_xlfn.XLOOKUP($E910,$O$35:$O$43,$T$35:$T$43)*G910/$P$9,"")</f>
        <v/>
      </c>
      <c r="K910" s="25" t="str">
        <f>IF(E910=$O$43,($D910/50-$T$43*$P$9)/$P$9,"")</f>
        <v/>
      </c>
      <c r="L910" s="25" t="str">
        <f>IFERROR(($D910/50-_xlfn.XLOOKUP($H910,$O$48:$O$62,$T$48:$T$62)*$P$14)/$P$9,"")</f>
        <v/>
      </c>
      <c r="M910" s="14">
        <f t="shared" si="14"/>
        <v>0</v>
      </c>
    </row>
    <row r="911" spans="2:13" x14ac:dyDescent="0.25">
      <c r="B911" s="10" t="str">
        <f>IF('Importér data'!C922="type",'Importér data'!F922,"")</f>
        <v/>
      </c>
      <c r="C911" s="10">
        <f>'Importér data'!H922</f>
        <v>0</v>
      </c>
      <c r="D911" s="32" t="str">
        <f>IF('Importér data'!C922="type",'Importér data'!N922,"")</f>
        <v/>
      </c>
      <c r="E911" s="24"/>
      <c r="F911" s="45"/>
      <c r="G911" s="45"/>
      <c r="H911" s="24"/>
      <c r="I911" s="25" t="str">
        <f>IFERROR(($D911/50-_xlfn.XLOOKUP($E911,$O$35:$O$43,$T$35:$T$43)*F911)/$P$9,"")</f>
        <v/>
      </c>
      <c r="J911" s="25" t="str">
        <f>IFERROR(_xlfn.XLOOKUP($E911,$O$35:$O$43,$T$35:$T$43)*G911/$P$9,"")</f>
        <v/>
      </c>
      <c r="K911" s="25" t="str">
        <f>IF(E911=$O$43,($D911/50-$T$43*$P$9)/$P$9,"")</f>
        <v/>
      </c>
      <c r="L911" s="25" t="str">
        <f>IFERROR(($D911/50-_xlfn.XLOOKUP($H911,$O$48:$O$62,$T$48:$T$62)*$P$14)/$P$9,"")</f>
        <v/>
      </c>
      <c r="M911" s="14">
        <f t="shared" si="14"/>
        <v>0</v>
      </c>
    </row>
    <row r="912" spans="2:13" x14ac:dyDescent="0.25">
      <c r="B912" s="10" t="str">
        <f>IF('Importér data'!C923="type",'Importér data'!F923,"")</f>
        <v/>
      </c>
      <c r="C912" s="10">
        <f>'Importér data'!H923</f>
        <v>0</v>
      </c>
      <c r="D912" s="32" t="str">
        <f>IF('Importér data'!C923="type",'Importér data'!N923,"")</f>
        <v/>
      </c>
      <c r="E912" s="24"/>
      <c r="F912" s="45"/>
      <c r="G912" s="45"/>
      <c r="H912" s="24"/>
      <c r="I912" s="25" t="str">
        <f>IFERROR(($D912/50-_xlfn.XLOOKUP($E912,$O$35:$O$43,$T$35:$T$43)*F912)/$P$9,"")</f>
        <v/>
      </c>
      <c r="J912" s="25" t="str">
        <f>IFERROR(_xlfn.XLOOKUP($E912,$O$35:$O$43,$T$35:$T$43)*G912/$P$9,"")</f>
        <v/>
      </c>
      <c r="K912" s="25" t="str">
        <f>IF(E912=$O$43,($D912/50-$T$43*$P$9)/$P$9,"")</f>
        <v/>
      </c>
      <c r="L912" s="25" t="str">
        <f>IFERROR(($D912/50-_xlfn.XLOOKUP($H912,$O$48:$O$62,$T$48:$T$62)*$P$14)/$P$9,"")</f>
        <v/>
      </c>
      <c r="M912" s="14">
        <f t="shared" si="14"/>
        <v>0</v>
      </c>
    </row>
    <row r="913" spans="2:13" x14ac:dyDescent="0.25">
      <c r="B913" s="10" t="str">
        <f>IF('Importér data'!C924="type",'Importér data'!F924,"")</f>
        <v/>
      </c>
      <c r="C913" s="10">
        <f>'Importér data'!H924</f>
        <v>0</v>
      </c>
      <c r="D913" s="32" t="str">
        <f>IF('Importér data'!C924="type",'Importér data'!N924,"")</f>
        <v/>
      </c>
      <c r="E913" s="24"/>
      <c r="F913" s="45"/>
      <c r="G913" s="45"/>
      <c r="H913" s="24"/>
      <c r="I913" s="25" t="str">
        <f>IFERROR(($D913/50-_xlfn.XLOOKUP($E913,$O$35:$O$43,$T$35:$T$43)*F913)/$P$9,"")</f>
        <v/>
      </c>
      <c r="J913" s="25" t="str">
        <f>IFERROR(_xlfn.XLOOKUP($E913,$O$35:$O$43,$T$35:$T$43)*G913/$P$9,"")</f>
        <v/>
      </c>
      <c r="K913" s="25" t="str">
        <f>IF(E913=$O$43,($D913/50-$T$43*$P$9)/$P$9,"")</f>
        <v/>
      </c>
      <c r="L913" s="25" t="str">
        <f>IFERROR(($D913/50-_xlfn.XLOOKUP($H913,$O$48:$O$62,$T$48:$T$62)*$P$14)/$P$9,"")</f>
        <v/>
      </c>
      <c r="M913" s="14">
        <f t="shared" si="14"/>
        <v>0</v>
      </c>
    </row>
    <row r="914" spans="2:13" x14ac:dyDescent="0.25">
      <c r="B914" s="10" t="str">
        <f>IF('Importér data'!C925="type",'Importér data'!F925,"")</f>
        <v/>
      </c>
      <c r="C914" s="10">
        <f>'Importér data'!H925</f>
        <v>0</v>
      </c>
      <c r="D914" s="32" t="str">
        <f>IF('Importér data'!C925="type",'Importér data'!N925,"")</f>
        <v/>
      </c>
      <c r="E914" s="24"/>
      <c r="F914" s="45"/>
      <c r="G914" s="45"/>
      <c r="H914" s="24"/>
      <c r="I914" s="25" t="str">
        <f>IFERROR(($D914/50-_xlfn.XLOOKUP($E914,$O$35:$O$43,$T$35:$T$43)*F914)/$P$9,"")</f>
        <v/>
      </c>
      <c r="J914" s="25" t="str">
        <f>IFERROR(_xlfn.XLOOKUP($E914,$O$35:$O$43,$T$35:$T$43)*G914/$P$9,"")</f>
        <v/>
      </c>
      <c r="K914" s="25" t="str">
        <f>IF(E914=$O$43,($D914/50-$T$43*$P$9)/$P$9,"")</f>
        <v/>
      </c>
      <c r="L914" s="25" t="str">
        <f>IFERROR(($D914/50-_xlfn.XLOOKUP($H914,$O$48:$O$62,$T$48:$T$62)*$P$14)/$P$9,"")</f>
        <v/>
      </c>
      <c r="M914" s="14">
        <f t="shared" si="14"/>
        <v>0</v>
      </c>
    </row>
    <row r="915" spans="2:13" x14ac:dyDescent="0.25">
      <c r="B915" s="10" t="str">
        <f>IF('Importér data'!C926="type",'Importér data'!F926,"")</f>
        <v/>
      </c>
      <c r="C915" s="10">
        <f>'Importér data'!H926</f>
        <v>0</v>
      </c>
      <c r="D915" s="32" t="str">
        <f>IF('Importér data'!C926="type",'Importér data'!N926,"")</f>
        <v/>
      </c>
      <c r="E915" s="24"/>
      <c r="F915" s="45"/>
      <c r="G915" s="45"/>
      <c r="H915" s="24"/>
      <c r="I915" s="25" t="str">
        <f>IFERROR(($D915/50-_xlfn.XLOOKUP($E915,$O$35:$O$43,$T$35:$T$43)*F915)/$P$9,"")</f>
        <v/>
      </c>
      <c r="J915" s="25" t="str">
        <f>IFERROR(_xlfn.XLOOKUP($E915,$O$35:$O$43,$T$35:$T$43)*G915/$P$9,"")</f>
        <v/>
      </c>
      <c r="K915" s="25" t="str">
        <f>IF(E915=$O$43,($D915/50-$T$43*$P$9)/$P$9,"")</f>
        <v/>
      </c>
      <c r="L915" s="25" t="str">
        <f>IFERROR(($D915/50-_xlfn.XLOOKUP($H915,$O$48:$O$62,$T$48:$T$62)*$P$14)/$P$9,"")</f>
        <v/>
      </c>
      <c r="M915" s="14">
        <f t="shared" si="14"/>
        <v>0</v>
      </c>
    </row>
    <row r="916" spans="2:13" x14ac:dyDescent="0.25">
      <c r="B916" s="10" t="str">
        <f>IF('Importér data'!C927="type",'Importér data'!F927,"")</f>
        <v/>
      </c>
      <c r="C916" s="10">
        <f>'Importér data'!H927</f>
        <v>0</v>
      </c>
      <c r="D916" s="32" t="str">
        <f>IF('Importér data'!C927="type",'Importér data'!N927,"")</f>
        <v/>
      </c>
      <c r="E916" s="24"/>
      <c r="F916" s="45"/>
      <c r="G916" s="45"/>
      <c r="H916" s="24"/>
      <c r="I916" s="25" t="str">
        <f>IFERROR(($D916/50-_xlfn.XLOOKUP($E916,$O$35:$O$43,$T$35:$T$43)*F916)/$P$9,"")</f>
        <v/>
      </c>
      <c r="J916" s="25" t="str">
        <f>IFERROR(_xlfn.XLOOKUP($E916,$O$35:$O$43,$T$35:$T$43)*G916/$P$9,"")</f>
        <v/>
      </c>
      <c r="K916" s="25" t="str">
        <f>IF(E916=$O$43,($D916/50-$T$43*$P$9)/$P$9,"")</f>
        <v/>
      </c>
      <c r="L916" s="25" t="str">
        <f>IFERROR(($D916/50-_xlfn.XLOOKUP($H916,$O$48:$O$62,$T$48:$T$62)*$P$14)/$P$9,"")</f>
        <v/>
      </c>
      <c r="M916" s="14">
        <f t="shared" si="14"/>
        <v>0</v>
      </c>
    </row>
    <row r="917" spans="2:13" x14ac:dyDescent="0.25">
      <c r="B917" s="10" t="str">
        <f>IF('Importér data'!C928="type",'Importér data'!F928,"")</f>
        <v/>
      </c>
      <c r="C917" s="10">
        <f>'Importér data'!H928</f>
        <v>0</v>
      </c>
      <c r="D917" s="32" t="str">
        <f>IF('Importér data'!C928="type",'Importér data'!N928,"")</f>
        <v/>
      </c>
      <c r="E917" s="24"/>
      <c r="F917" s="45"/>
      <c r="G917" s="45"/>
      <c r="H917" s="24"/>
      <c r="I917" s="25" t="str">
        <f>IFERROR(($D917/50-_xlfn.XLOOKUP($E917,$O$35:$O$43,$T$35:$T$43)*F917)/$P$9,"")</f>
        <v/>
      </c>
      <c r="J917" s="25" t="str">
        <f>IFERROR(_xlfn.XLOOKUP($E917,$O$35:$O$43,$T$35:$T$43)*G917/$P$9,"")</f>
        <v/>
      </c>
      <c r="K917" s="25" t="str">
        <f>IF(E917=$O$43,($D917/50-$T$43*$P$9)/$P$9,"")</f>
        <v/>
      </c>
      <c r="L917" s="25" t="str">
        <f>IFERROR(($D917/50-_xlfn.XLOOKUP($H917,$O$48:$O$62,$T$48:$T$62)*$P$14)/$P$9,"")</f>
        <v/>
      </c>
      <c r="M917" s="14">
        <f t="shared" si="14"/>
        <v>0</v>
      </c>
    </row>
    <row r="918" spans="2:13" x14ac:dyDescent="0.25">
      <c r="B918" s="10" t="str">
        <f>IF('Importér data'!C929="type",'Importér data'!F929,"")</f>
        <v/>
      </c>
      <c r="C918" s="10">
        <f>'Importér data'!H929</f>
        <v>0</v>
      </c>
      <c r="D918" s="32" t="str">
        <f>IF('Importér data'!C929="type",'Importér data'!N929,"")</f>
        <v/>
      </c>
      <c r="E918" s="24"/>
      <c r="F918" s="45"/>
      <c r="G918" s="45"/>
      <c r="H918" s="24"/>
      <c r="I918" s="25" t="str">
        <f>IFERROR(($D918/50-_xlfn.XLOOKUP($E918,$O$35:$O$43,$T$35:$T$43)*F918)/$P$9,"")</f>
        <v/>
      </c>
      <c r="J918" s="25" t="str">
        <f>IFERROR(_xlfn.XLOOKUP($E918,$O$35:$O$43,$T$35:$T$43)*G918/$P$9,"")</f>
        <v/>
      </c>
      <c r="K918" s="25" t="str">
        <f>IF(E918=$O$43,($D918/50-$T$43*$P$9)/$P$9,"")</f>
        <v/>
      </c>
      <c r="L918" s="25" t="str">
        <f>IFERROR(($D918/50-_xlfn.XLOOKUP($H918,$O$48:$O$62,$T$48:$T$62)*$P$14)/$P$9,"")</f>
        <v/>
      </c>
      <c r="M918" s="14">
        <f t="shared" si="14"/>
        <v>0</v>
      </c>
    </row>
    <row r="919" spans="2:13" x14ac:dyDescent="0.25">
      <c r="B919" s="10" t="str">
        <f>IF('Importér data'!C930="type",'Importér data'!F930,"")</f>
        <v/>
      </c>
      <c r="C919" s="10">
        <f>'Importér data'!H930</f>
        <v>0</v>
      </c>
      <c r="D919" s="32" t="str">
        <f>IF('Importér data'!C930="type",'Importér data'!N930,"")</f>
        <v/>
      </c>
      <c r="E919" s="24"/>
      <c r="F919" s="45"/>
      <c r="G919" s="45"/>
      <c r="H919" s="24"/>
      <c r="I919" s="25" t="str">
        <f>IFERROR(($D919/50-_xlfn.XLOOKUP($E919,$O$35:$O$43,$T$35:$T$43)*F919)/$P$9,"")</f>
        <v/>
      </c>
      <c r="J919" s="25" t="str">
        <f>IFERROR(_xlfn.XLOOKUP($E919,$O$35:$O$43,$T$35:$T$43)*G919/$P$9,"")</f>
        <v/>
      </c>
      <c r="K919" s="25" t="str">
        <f>IF(E919=$O$43,($D919/50-$T$43*$P$9)/$P$9,"")</f>
        <v/>
      </c>
      <c r="L919" s="25" t="str">
        <f>IFERROR(($D919/50-_xlfn.XLOOKUP($H919,$O$48:$O$62,$T$48:$T$62)*$P$14)/$P$9,"")</f>
        <v/>
      </c>
      <c r="M919" s="14">
        <f t="shared" si="14"/>
        <v>0</v>
      </c>
    </row>
    <row r="920" spans="2:13" x14ac:dyDescent="0.25">
      <c r="B920" s="10" t="str">
        <f>IF('Importér data'!C931="type",'Importér data'!F931,"")</f>
        <v/>
      </c>
      <c r="C920" s="10">
        <f>'Importér data'!H931</f>
        <v>0</v>
      </c>
      <c r="D920" s="32" t="str">
        <f>IF('Importér data'!C931="type",'Importér data'!N931,"")</f>
        <v/>
      </c>
      <c r="E920" s="24"/>
      <c r="F920" s="45"/>
      <c r="G920" s="45"/>
      <c r="H920" s="24"/>
      <c r="I920" s="25" t="str">
        <f>IFERROR(($D920/50-_xlfn.XLOOKUP($E920,$O$35:$O$43,$T$35:$T$43)*F920)/$P$9,"")</f>
        <v/>
      </c>
      <c r="J920" s="25" t="str">
        <f>IFERROR(_xlfn.XLOOKUP($E920,$O$35:$O$43,$T$35:$T$43)*G920/$P$9,"")</f>
        <v/>
      </c>
      <c r="K920" s="25" t="str">
        <f>IF(E920=$O$43,($D920/50-$T$43*$P$9)/$P$9,"")</f>
        <v/>
      </c>
      <c r="L920" s="25" t="str">
        <f>IFERROR(($D920/50-_xlfn.XLOOKUP($H920,$O$48:$O$62,$T$48:$T$62)*$P$14)/$P$9,"")</f>
        <v/>
      </c>
      <c r="M920" s="14">
        <f t="shared" si="14"/>
        <v>0</v>
      </c>
    </row>
    <row r="921" spans="2:13" x14ac:dyDescent="0.25">
      <c r="B921" s="10" t="str">
        <f>IF('Importér data'!C932="type",'Importér data'!F932,"")</f>
        <v/>
      </c>
      <c r="C921" s="10">
        <f>'Importér data'!H932</f>
        <v>0</v>
      </c>
      <c r="D921" s="32" t="str">
        <f>IF('Importér data'!C932="type",'Importér data'!N932,"")</f>
        <v/>
      </c>
      <c r="E921" s="24"/>
      <c r="F921" s="45"/>
      <c r="G921" s="45"/>
      <c r="H921" s="24"/>
      <c r="I921" s="25" t="str">
        <f>IFERROR(($D921/50-_xlfn.XLOOKUP($E921,$O$35:$O$43,$T$35:$T$43)*F921)/$P$9,"")</f>
        <v/>
      </c>
      <c r="J921" s="25" t="str">
        <f>IFERROR(_xlfn.XLOOKUP($E921,$O$35:$O$43,$T$35:$T$43)*G921/$P$9,"")</f>
        <v/>
      </c>
      <c r="K921" s="25" t="str">
        <f>IF(E921=$O$43,($D921/50-$T$43*$P$9)/$P$9,"")</f>
        <v/>
      </c>
      <c r="L921" s="25" t="str">
        <f>IFERROR(($D921/50-_xlfn.XLOOKUP($H921,$O$48:$O$62,$T$48:$T$62)*$P$14)/$P$9,"")</f>
        <v/>
      </c>
      <c r="M921" s="14">
        <f t="shared" si="14"/>
        <v>0</v>
      </c>
    </row>
    <row r="922" spans="2:13" x14ac:dyDescent="0.25">
      <c r="B922" s="10" t="str">
        <f>IF('Importér data'!C933="type",'Importér data'!F933,"")</f>
        <v/>
      </c>
      <c r="C922" s="10">
        <f>'Importér data'!H933</f>
        <v>0</v>
      </c>
      <c r="D922" s="32" t="str">
        <f>IF('Importér data'!C933="type",'Importér data'!N933,"")</f>
        <v/>
      </c>
      <c r="E922" s="24"/>
      <c r="F922" s="45"/>
      <c r="G922" s="45"/>
      <c r="H922" s="24"/>
      <c r="I922" s="25" t="str">
        <f>IFERROR(($D922/50-_xlfn.XLOOKUP($E922,$O$35:$O$43,$T$35:$T$43)*F922)/$P$9,"")</f>
        <v/>
      </c>
      <c r="J922" s="25" t="str">
        <f>IFERROR(_xlfn.XLOOKUP($E922,$O$35:$O$43,$T$35:$T$43)*G922/$P$9,"")</f>
        <v/>
      </c>
      <c r="K922" s="25" t="str">
        <f>IF(E922=$O$43,($D922/50-$T$43*$P$9)/$P$9,"")</f>
        <v/>
      </c>
      <c r="L922" s="25" t="str">
        <f>IFERROR(($D922/50-_xlfn.XLOOKUP($H922,$O$48:$O$62,$T$48:$T$62)*$P$14)/$P$9,"")</f>
        <v/>
      </c>
      <c r="M922" s="14">
        <f t="shared" si="14"/>
        <v>0</v>
      </c>
    </row>
    <row r="923" spans="2:13" x14ac:dyDescent="0.25">
      <c r="B923" s="10" t="str">
        <f>IF('Importér data'!C934="type",'Importér data'!F934,"")</f>
        <v/>
      </c>
      <c r="C923" s="10">
        <f>'Importér data'!H934</f>
        <v>0</v>
      </c>
      <c r="D923" s="32" t="str">
        <f>IF('Importér data'!C934="type",'Importér data'!N934,"")</f>
        <v/>
      </c>
      <c r="E923" s="24"/>
      <c r="F923" s="45"/>
      <c r="G923" s="45"/>
      <c r="H923" s="24"/>
      <c r="I923" s="25" t="str">
        <f>IFERROR(($D923/50-_xlfn.XLOOKUP($E923,$O$35:$O$43,$T$35:$T$43)*F923)/$P$9,"")</f>
        <v/>
      </c>
      <c r="J923" s="25" t="str">
        <f>IFERROR(_xlfn.XLOOKUP($E923,$O$35:$O$43,$T$35:$T$43)*G923/$P$9,"")</f>
        <v/>
      </c>
      <c r="K923" s="25" t="str">
        <f>IF(E923=$O$43,($D923/50-$T$43*$P$9)/$P$9,"")</f>
        <v/>
      </c>
      <c r="L923" s="25" t="str">
        <f>IFERROR(($D923/50-_xlfn.XLOOKUP($H923,$O$48:$O$62,$T$48:$T$62)*$P$14)/$P$9,"")</f>
        <v/>
      </c>
      <c r="M923" s="14">
        <f t="shared" si="14"/>
        <v>0</v>
      </c>
    </row>
    <row r="924" spans="2:13" x14ac:dyDescent="0.25">
      <c r="B924" s="10" t="str">
        <f>IF('Importér data'!C935="type",'Importér data'!F935,"")</f>
        <v/>
      </c>
      <c r="C924" s="10">
        <f>'Importér data'!H935</f>
        <v>0</v>
      </c>
      <c r="D924" s="32" t="str">
        <f>IF('Importér data'!C935="type",'Importér data'!N935,"")</f>
        <v/>
      </c>
      <c r="E924" s="24"/>
      <c r="F924" s="45"/>
      <c r="G924" s="45"/>
      <c r="H924" s="24"/>
      <c r="I924" s="25" t="str">
        <f>IFERROR(($D924/50-_xlfn.XLOOKUP($E924,$O$35:$O$43,$T$35:$T$43)*F924)/$P$9,"")</f>
        <v/>
      </c>
      <c r="J924" s="25" t="str">
        <f>IFERROR(_xlfn.XLOOKUP($E924,$O$35:$O$43,$T$35:$T$43)*G924/$P$9,"")</f>
        <v/>
      </c>
      <c r="K924" s="25" t="str">
        <f>IF(E924=$O$43,($D924/50-$T$43*$P$9)/$P$9,"")</f>
        <v/>
      </c>
      <c r="L924" s="25" t="str">
        <f>IFERROR(($D924/50-_xlfn.XLOOKUP($H924,$O$48:$O$62,$T$48:$T$62)*$P$14)/$P$9,"")</f>
        <v/>
      </c>
      <c r="M924" s="14">
        <f t="shared" si="14"/>
        <v>0</v>
      </c>
    </row>
    <row r="925" spans="2:13" x14ac:dyDescent="0.25">
      <c r="B925" s="10" t="str">
        <f>IF('Importér data'!C936="type",'Importér data'!F936,"")</f>
        <v/>
      </c>
      <c r="C925" s="10">
        <f>'Importér data'!H936</f>
        <v>0</v>
      </c>
      <c r="D925" s="32" t="str">
        <f>IF('Importér data'!C936="type",'Importér data'!N936,"")</f>
        <v/>
      </c>
      <c r="E925" s="24"/>
      <c r="F925" s="45"/>
      <c r="G925" s="45"/>
      <c r="H925" s="24"/>
      <c r="I925" s="25" t="str">
        <f>IFERROR(($D925/50-_xlfn.XLOOKUP($E925,$O$35:$O$43,$T$35:$T$43)*F925)/$P$9,"")</f>
        <v/>
      </c>
      <c r="J925" s="25" t="str">
        <f>IFERROR(_xlfn.XLOOKUP($E925,$O$35:$O$43,$T$35:$T$43)*G925/$P$9,"")</f>
        <v/>
      </c>
      <c r="K925" s="25" t="str">
        <f>IF(E925=$O$43,($D925/50-$T$43*$P$9)/$P$9,"")</f>
        <v/>
      </c>
      <c r="L925" s="25" t="str">
        <f>IFERROR(($D925/50-_xlfn.XLOOKUP($H925,$O$48:$O$62,$T$48:$T$62)*$P$14)/$P$9,"")</f>
        <v/>
      </c>
      <c r="M925" s="14">
        <f t="shared" si="14"/>
        <v>0</v>
      </c>
    </row>
    <row r="926" spans="2:13" x14ac:dyDescent="0.25">
      <c r="B926" s="10" t="str">
        <f>IF('Importér data'!C937="type",'Importér data'!F937,"")</f>
        <v/>
      </c>
      <c r="C926" s="10">
        <f>'Importér data'!H937</f>
        <v>0</v>
      </c>
      <c r="D926" s="32" t="str">
        <f>IF('Importér data'!C937="type",'Importér data'!N937,"")</f>
        <v/>
      </c>
      <c r="E926" s="24"/>
      <c r="F926" s="45"/>
      <c r="G926" s="45"/>
      <c r="H926" s="24"/>
      <c r="I926" s="25" t="str">
        <f>IFERROR(($D926/50-_xlfn.XLOOKUP($E926,$O$35:$O$43,$T$35:$T$43)*F926)/$P$9,"")</f>
        <v/>
      </c>
      <c r="J926" s="25" t="str">
        <f>IFERROR(_xlfn.XLOOKUP($E926,$O$35:$O$43,$T$35:$T$43)*G926/$P$9,"")</f>
        <v/>
      </c>
      <c r="K926" s="25" t="str">
        <f>IF(E926=$O$43,($D926/50-$T$43*$P$9)/$P$9,"")</f>
        <v/>
      </c>
      <c r="L926" s="25" t="str">
        <f>IFERROR(($D926/50-_xlfn.XLOOKUP($H926,$O$48:$O$62,$T$48:$T$62)*$P$14)/$P$9,"")</f>
        <v/>
      </c>
      <c r="M926" s="14">
        <f t="shared" si="14"/>
        <v>0</v>
      </c>
    </row>
    <row r="927" spans="2:13" x14ac:dyDescent="0.25">
      <c r="B927" s="10" t="str">
        <f>IF('Importér data'!C938="type",'Importér data'!F938,"")</f>
        <v/>
      </c>
      <c r="C927" s="10">
        <f>'Importér data'!H938</f>
        <v>0</v>
      </c>
      <c r="D927" s="32" t="str">
        <f>IF('Importér data'!C938="type",'Importér data'!N938,"")</f>
        <v/>
      </c>
      <c r="E927" s="24"/>
      <c r="F927" s="45"/>
      <c r="G927" s="45"/>
      <c r="H927" s="24"/>
      <c r="I927" s="25" t="str">
        <f>IFERROR(($D927/50-_xlfn.XLOOKUP($E927,$O$35:$O$43,$T$35:$T$43)*F927)/$P$9,"")</f>
        <v/>
      </c>
      <c r="J927" s="25" t="str">
        <f>IFERROR(_xlfn.XLOOKUP($E927,$O$35:$O$43,$T$35:$T$43)*G927/$P$9,"")</f>
        <v/>
      </c>
      <c r="K927" s="25" t="str">
        <f>IF(E927=$O$43,($D927/50-$T$43*$P$9)/$P$9,"")</f>
        <v/>
      </c>
      <c r="L927" s="25" t="str">
        <f>IFERROR(($D927/50-_xlfn.XLOOKUP($H927,$O$48:$O$62,$T$48:$T$62)*$P$14)/$P$9,"")</f>
        <v/>
      </c>
      <c r="M927" s="14">
        <f t="shared" si="14"/>
        <v>0</v>
      </c>
    </row>
    <row r="928" spans="2:13" x14ac:dyDescent="0.25">
      <c r="B928" s="10" t="str">
        <f>IF('Importér data'!C939="type",'Importér data'!F939,"")</f>
        <v/>
      </c>
      <c r="C928" s="10">
        <f>'Importér data'!H939</f>
        <v>0</v>
      </c>
      <c r="D928" s="32" t="str">
        <f>IF('Importér data'!C939="type",'Importér data'!N939,"")</f>
        <v/>
      </c>
      <c r="E928" s="24"/>
      <c r="F928" s="45"/>
      <c r="G928" s="45"/>
      <c r="H928" s="24"/>
      <c r="I928" s="25" t="str">
        <f>IFERROR(($D928/50-_xlfn.XLOOKUP($E928,$O$35:$O$43,$T$35:$T$43)*F928)/$P$9,"")</f>
        <v/>
      </c>
      <c r="J928" s="25" t="str">
        <f>IFERROR(_xlfn.XLOOKUP($E928,$O$35:$O$43,$T$35:$T$43)*G928/$P$9,"")</f>
        <v/>
      </c>
      <c r="K928" s="25" t="str">
        <f>IF(E928=$O$43,($D928/50-$T$43*$P$9)/$P$9,"")</f>
        <v/>
      </c>
      <c r="L928" s="25" t="str">
        <f>IFERROR(($D928/50-_xlfn.XLOOKUP($H928,$O$48:$O$62,$T$48:$T$62)*$P$14)/$P$9,"")</f>
        <v/>
      </c>
      <c r="M928" s="14">
        <f t="shared" si="14"/>
        <v>0</v>
      </c>
    </row>
    <row r="929" spans="2:13" x14ac:dyDescent="0.25">
      <c r="B929" s="10" t="str">
        <f>IF('Importér data'!C940="type",'Importér data'!F940,"")</f>
        <v/>
      </c>
      <c r="C929" s="10">
        <f>'Importér data'!H940</f>
        <v>0</v>
      </c>
      <c r="D929" s="32" t="str">
        <f>IF('Importér data'!C940="type",'Importér data'!N940,"")</f>
        <v/>
      </c>
      <c r="E929" s="24"/>
      <c r="F929" s="45"/>
      <c r="G929" s="45"/>
      <c r="H929" s="24"/>
      <c r="I929" s="25" t="str">
        <f>IFERROR(($D929/50-_xlfn.XLOOKUP($E929,$O$35:$O$43,$T$35:$T$43)*F929)/$P$9,"")</f>
        <v/>
      </c>
      <c r="J929" s="25" t="str">
        <f>IFERROR(_xlfn.XLOOKUP($E929,$O$35:$O$43,$T$35:$T$43)*G929/$P$9,"")</f>
        <v/>
      </c>
      <c r="K929" s="25" t="str">
        <f>IF(E929=$O$43,($D929/50-$T$43*$P$9)/$P$9,"")</f>
        <v/>
      </c>
      <c r="L929" s="25" t="str">
        <f>IFERROR(($D929/50-_xlfn.XLOOKUP($H929,$O$48:$O$62,$T$48:$T$62)*$P$14)/$P$9,"")</f>
        <v/>
      </c>
      <c r="M929" s="14">
        <f t="shared" si="14"/>
        <v>0</v>
      </c>
    </row>
    <row r="930" spans="2:13" x14ac:dyDescent="0.25">
      <c r="B930" s="10" t="str">
        <f>IF('Importér data'!C941="type",'Importér data'!F941,"")</f>
        <v/>
      </c>
      <c r="C930" s="10">
        <f>'Importér data'!H941</f>
        <v>0</v>
      </c>
      <c r="D930" s="32" t="str">
        <f>IF('Importér data'!C941="type",'Importér data'!N941,"")</f>
        <v/>
      </c>
      <c r="E930" s="24"/>
      <c r="F930" s="45"/>
      <c r="G930" s="45"/>
      <c r="H930" s="24"/>
      <c r="I930" s="25" t="str">
        <f>IFERROR(($D930/50-_xlfn.XLOOKUP($E930,$O$35:$O$43,$T$35:$T$43)*F930)/$P$9,"")</f>
        <v/>
      </c>
      <c r="J930" s="25" t="str">
        <f>IFERROR(_xlfn.XLOOKUP($E930,$O$35:$O$43,$T$35:$T$43)*G930/$P$9,"")</f>
        <v/>
      </c>
      <c r="K930" s="25" t="str">
        <f>IF(E930=$O$43,($D930/50-$T$43*$P$9)/$P$9,"")</f>
        <v/>
      </c>
      <c r="L930" s="25" t="str">
        <f>IFERROR(($D930/50-_xlfn.XLOOKUP($H930,$O$48:$O$62,$T$48:$T$62)*$P$14)/$P$9,"")</f>
        <v/>
      </c>
      <c r="M930" s="14">
        <f t="shared" si="14"/>
        <v>0</v>
      </c>
    </row>
    <row r="931" spans="2:13" x14ac:dyDescent="0.25">
      <c r="B931" s="10" t="str">
        <f>IF('Importér data'!C942="type",'Importér data'!F942,"")</f>
        <v/>
      </c>
      <c r="C931" s="10">
        <f>'Importér data'!H942</f>
        <v>0</v>
      </c>
      <c r="D931" s="32" t="str">
        <f>IF('Importér data'!C942="type",'Importér data'!N942,"")</f>
        <v/>
      </c>
      <c r="E931" s="24"/>
      <c r="F931" s="45"/>
      <c r="G931" s="45"/>
      <c r="H931" s="24"/>
      <c r="I931" s="25" t="str">
        <f>IFERROR(($D931/50-_xlfn.XLOOKUP($E931,$O$35:$O$43,$T$35:$T$43)*F931)/$P$9,"")</f>
        <v/>
      </c>
      <c r="J931" s="25" t="str">
        <f>IFERROR(_xlfn.XLOOKUP($E931,$O$35:$O$43,$T$35:$T$43)*G931/$P$9,"")</f>
        <v/>
      </c>
      <c r="K931" s="25" t="str">
        <f>IF(E931=$O$43,($D931/50-$T$43*$P$9)/$P$9,"")</f>
        <v/>
      </c>
      <c r="L931" s="25" t="str">
        <f>IFERROR(($D931/50-_xlfn.XLOOKUP($H931,$O$48:$O$62,$T$48:$T$62)*$P$14)/$P$9,"")</f>
        <v/>
      </c>
      <c r="M931" s="14">
        <f t="shared" si="14"/>
        <v>0</v>
      </c>
    </row>
    <row r="932" spans="2:13" x14ac:dyDescent="0.25">
      <c r="B932" s="10" t="str">
        <f>IF('Importér data'!C943="type",'Importér data'!F943,"")</f>
        <v/>
      </c>
      <c r="C932" s="10">
        <f>'Importér data'!H943</f>
        <v>0</v>
      </c>
      <c r="D932" s="32" t="str">
        <f>IF('Importér data'!C943="type",'Importér data'!N943,"")</f>
        <v/>
      </c>
      <c r="E932" s="24"/>
      <c r="F932" s="45"/>
      <c r="G932" s="45"/>
      <c r="H932" s="24"/>
      <c r="I932" s="25" t="str">
        <f>IFERROR(($D932/50-_xlfn.XLOOKUP($E932,$O$35:$O$43,$T$35:$T$43)*F932)/$P$9,"")</f>
        <v/>
      </c>
      <c r="J932" s="25" t="str">
        <f>IFERROR(_xlfn.XLOOKUP($E932,$O$35:$O$43,$T$35:$T$43)*G932/$P$9,"")</f>
        <v/>
      </c>
      <c r="K932" s="25" t="str">
        <f>IF(E932=$O$43,($D932/50-$T$43*$P$9)/$P$9,"")</f>
        <v/>
      </c>
      <c r="L932" s="25" t="str">
        <f>IFERROR(($D932/50-_xlfn.XLOOKUP($H932,$O$48:$O$62,$T$48:$T$62)*$P$14)/$P$9,"")</f>
        <v/>
      </c>
      <c r="M932" s="14">
        <f t="shared" si="14"/>
        <v>0</v>
      </c>
    </row>
    <row r="933" spans="2:13" x14ac:dyDescent="0.25">
      <c r="B933" s="10" t="str">
        <f>IF('Importér data'!C944="type",'Importér data'!F944,"")</f>
        <v/>
      </c>
      <c r="C933" s="10">
        <f>'Importér data'!H944</f>
        <v>0</v>
      </c>
      <c r="D933" s="32" t="str">
        <f>IF('Importér data'!C944="type",'Importér data'!N944,"")</f>
        <v/>
      </c>
      <c r="E933" s="24"/>
      <c r="F933" s="45"/>
      <c r="G933" s="45"/>
      <c r="H933" s="24"/>
      <c r="I933" s="25" t="str">
        <f>IFERROR(($D933/50-_xlfn.XLOOKUP($E933,$O$35:$O$43,$T$35:$T$43)*F933)/$P$9,"")</f>
        <v/>
      </c>
      <c r="J933" s="25" t="str">
        <f>IFERROR(_xlfn.XLOOKUP($E933,$O$35:$O$43,$T$35:$T$43)*G933/$P$9,"")</f>
        <v/>
      </c>
      <c r="K933" s="25" t="str">
        <f>IF(E933=$O$43,($D933/50-$T$43*$P$9)/$P$9,"")</f>
        <v/>
      </c>
      <c r="L933" s="25" t="str">
        <f>IFERROR(($D933/50-_xlfn.XLOOKUP($H933,$O$48:$O$62,$T$48:$T$62)*$P$14)/$P$9,"")</f>
        <v/>
      </c>
      <c r="M933" s="14">
        <f t="shared" si="14"/>
        <v>0</v>
      </c>
    </row>
    <row r="934" spans="2:13" x14ac:dyDescent="0.25">
      <c r="B934" s="10" t="str">
        <f>IF('Importér data'!C945="type",'Importér data'!F945,"")</f>
        <v/>
      </c>
      <c r="C934" s="10">
        <f>'Importér data'!H945</f>
        <v>0</v>
      </c>
      <c r="D934" s="32" t="str">
        <f>IF('Importér data'!C945="type",'Importér data'!N945,"")</f>
        <v/>
      </c>
      <c r="E934" s="24"/>
      <c r="F934" s="45"/>
      <c r="G934" s="45"/>
      <c r="H934" s="24"/>
      <c r="I934" s="25" t="str">
        <f>IFERROR(($D934/50-_xlfn.XLOOKUP($E934,$O$35:$O$43,$T$35:$T$43)*F934)/$P$9,"")</f>
        <v/>
      </c>
      <c r="J934" s="25" t="str">
        <f>IFERROR(_xlfn.XLOOKUP($E934,$O$35:$O$43,$T$35:$T$43)*G934/$P$9,"")</f>
        <v/>
      </c>
      <c r="K934" s="25" t="str">
        <f>IF(E934=$O$43,($D934/50-$T$43*$P$9)/$P$9,"")</f>
        <v/>
      </c>
      <c r="L934" s="25" t="str">
        <f>IFERROR(($D934/50-_xlfn.XLOOKUP($H934,$O$48:$O$62,$T$48:$T$62)*$P$14)/$P$9,"")</f>
        <v/>
      </c>
      <c r="M934" s="14">
        <f t="shared" si="14"/>
        <v>0</v>
      </c>
    </row>
    <row r="935" spans="2:13" x14ac:dyDescent="0.25">
      <c r="B935" s="10" t="str">
        <f>IF('Importér data'!C946="type",'Importér data'!F946,"")</f>
        <v/>
      </c>
      <c r="C935" s="10">
        <f>'Importér data'!H946</f>
        <v>0</v>
      </c>
      <c r="D935" s="32" t="str">
        <f>IF('Importér data'!C946="type",'Importér data'!N946,"")</f>
        <v/>
      </c>
      <c r="E935" s="24"/>
      <c r="F935" s="45"/>
      <c r="G935" s="45"/>
      <c r="H935" s="24"/>
      <c r="I935" s="25" t="str">
        <f>IFERROR(($D935/50-_xlfn.XLOOKUP($E935,$O$35:$O$43,$T$35:$T$43)*F935)/$P$9,"")</f>
        <v/>
      </c>
      <c r="J935" s="25" t="str">
        <f>IFERROR(_xlfn.XLOOKUP($E935,$O$35:$O$43,$T$35:$T$43)*G935/$P$9,"")</f>
        <v/>
      </c>
      <c r="K935" s="25" t="str">
        <f>IF(E935=$O$43,($D935/50-$T$43*$P$9)/$P$9,"")</f>
        <v/>
      </c>
      <c r="L935" s="25" t="str">
        <f>IFERROR(($D935/50-_xlfn.XLOOKUP($H935,$O$48:$O$62,$T$48:$T$62)*$P$14)/$P$9,"")</f>
        <v/>
      </c>
      <c r="M935" s="14">
        <f t="shared" si="14"/>
        <v>0</v>
      </c>
    </row>
    <row r="936" spans="2:13" x14ac:dyDescent="0.25">
      <c r="B936" s="10" t="str">
        <f>IF('Importér data'!C947="type",'Importér data'!F947,"")</f>
        <v/>
      </c>
      <c r="C936" s="10">
        <f>'Importér data'!H947</f>
        <v>0</v>
      </c>
      <c r="D936" s="32" t="str">
        <f>IF('Importér data'!C947="type",'Importér data'!N947,"")</f>
        <v/>
      </c>
      <c r="E936" s="24"/>
      <c r="F936" s="45"/>
      <c r="G936" s="45"/>
      <c r="H936" s="24"/>
      <c r="I936" s="25" t="str">
        <f>IFERROR(($D936/50-_xlfn.XLOOKUP($E936,$O$35:$O$43,$T$35:$T$43)*F936)/$P$9,"")</f>
        <v/>
      </c>
      <c r="J936" s="25" t="str">
        <f>IFERROR(_xlfn.XLOOKUP($E936,$O$35:$O$43,$T$35:$T$43)*G936/$P$9,"")</f>
        <v/>
      </c>
      <c r="K936" s="25" t="str">
        <f>IF(E936=$O$43,($D936/50-$T$43*$P$9)/$P$9,"")</f>
        <v/>
      </c>
      <c r="L936" s="25" t="str">
        <f>IFERROR(($D936/50-_xlfn.XLOOKUP($H936,$O$48:$O$62,$T$48:$T$62)*$P$14)/$P$9,"")</f>
        <v/>
      </c>
      <c r="M936" s="14">
        <f t="shared" si="14"/>
        <v>0</v>
      </c>
    </row>
    <row r="937" spans="2:13" x14ac:dyDescent="0.25">
      <c r="B937" s="10" t="str">
        <f>IF('Importér data'!C948="type",'Importér data'!F948,"")</f>
        <v/>
      </c>
      <c r="C937" s="10">
        <f>'Importér data'!H948</f>
        <v>0</v>
      </c>
      <c r="D937" s="32" t="str">
        <f>IF('Importér data'!C948="type",'Importér data'!N948,"")</f>
        <v/>
      </c>
      <c r="E937" s="24"/>
      <c r="F937" s="45"/>
      <c r="G937" s="45"/>
      <c r="H937" s="24"/>
      <c r="I937" s="25" t="str">
        <f>IFERROR(($D937/50-_xlfn.XLOOKUP($E937,$O$35:$O$43,$T$35:$T$43)*F937)/$P$9,"")</f>
        <v/>
      </c>
      <c r="J937" s="25" t="str">
        <f>IFERROR(_xlfn.XLOOKUP($E937,$O$35:$O$43,$T$35:$T$43)*G937/$P$9,"")</f>
        <v/>
      </c>
      <c r="K937" s="25" t="str">
        <f>IF(E937=$O$43,($D937/50-$T$43*$P$9)/$P$9,"")</f>
        <v/>
      </c>
      <c r="L937" s="25" t="str">
        <f>IFERROR(($D937/50-_xlfn.XLOOKUP($H937,$O$48:$O$62,$T$48:$T$62)*$P$14)/$P$9,"")</f>
        <v/>
      </c>
      <c r="M937" s="14">
        <f t="shared" si="14"/>
        <v>0</v>
      </c>
    </row>
    <row r="938" spans="2:13" x14ac:dyDescent="0.25">
      <c r="B938" s="10" t="str">
        <f>IF('Importér data'!C949="type",'Importér data'!F949,"")</f>
        <v/>
      </c>
      <c r="C938" s="10">
        <f>'Importér data'!H949</f>
        <v>0</v>
      </c>
      <c r="D938" s="32" t="str">
        <f>IF('Importér data'!C949="type",'Importér data'!N949,"")</f>
        <v/>
      </c>
      <c r="E938" s="24"/>
      <c r="F938" s="45"/>
      <c r="G938" s="45"/>
      <c r="H938" s="24"/>
      <c r="I938" s="25" t="str">
        <f>IFERROR(($D938/50-_xlfn.XLOOKUP($E938,$O$35:$O$43,$T$35:$T$43)*F938)/$P$9,"")</f>
        <v/>
      </c>
      <c r="J938" s="25" t="str">
        <f>IFERROR(_xlfn.XLOOKUP($E938,$O$35:$O$43,$T$35:$T$43)*G938/$P$9,"")</f>
        <v/>
      </c>
      <c r="K938" s="25" t="str">
        <f>IF(E938=$O$43,($D938/50-$T$43*$P$9)/$P$9,"")</f>
        <v/>
      </c>
      <c r="L938" s="25" t="str">
        <f>IFERROR(($D938/50-_xlfn.XLOOKUP($H938,$O$48:$O$62,$T$48:$T$62)*$P$14)/$P$9,"")</f>
        <v/>
      </c>
      <c r="M938" s="14">
        <f t="shared" si="14"/>
        <v>0</v>
      </c>
    </row>
    <row r="939" spans="2:13" x14ac:dyDescent="0.25">
      <c r="B939" s="10" t="str">
        <f>IF('Importér data'!C950="type",'Importér data'!F950,"")</f>
        <v/>
      </c>
      <c r="C939" s="10">
        <f>'Importér data'!H950</f>
        <v>0</v>
      </c>
      <c r="D939" s="32" t="str">
        <f>IF('Importér data'!C950="type",'Importér data'!N950,"")</f>
        <v/>
      </c>
      <c r="E939" s="24"/>
      <c r="F939" s="45"/>
      <c r="G939" s="45"/>
      <c r="H939" s="24"/>
      <c r="I939" s="25" t="str">
        <f>IFERROR(($D939/50-_xlfn.XLOOKUP($E939,$O$35:$O$43,$T$35:$T$43)*F939)/$P$9,"")</f>
        <v/>
      </c>
      <c r="J939" s="25" t="str">
        <f>IFERROR(_xlfn.XLOOKUP($E939,$O$35:$O$43,$T$35:$T$43)*G939/$P$9,"")</f>
        <v/>
      </c>
      <c r="K939" s="25" t="str">
        <f>IF(E939=$O$43,($D939/50-$T$43*$P$9)/$P$9,"")</f>
        <v/>
      </c>
      <c r="L939" s="25" t="str">
        <f>IFERROR(($D939/50-_xlfn.XLOOKUP($H939,$O$48:$O$62,$T$48:$T$62)*$P$14)/$P$9,"")</f>
        <v/>
      </c>
      <c r="M939" s="14">
        <f t="shared" si="14"/>
        <v>0</v>
      </c>
    </row>
    <row r="940" spans="2:13" x14ac:dyDescent="0.25">
      <c r="B940" s="10" t="str">
        <f>IF('Importér data'!C951="type",'Importér data'!F951,"")</f>
        <v/>
      </c>
      <c r="C940" s="10">
        <f>'Importér data'!H951</f>
        <v>0</v>
      </c>
      <c r="D940" s="32" t="str">
        <f>IF('Importér data'!C951="type",'Importér data'!N951,"")</f>
        <v/>
      </c>
      <c r="E940" s="24"/>
      <c r="F940" s="45"/>
      <c r="G940" s="45"/>
      <c r="H940" s="24"/>
      <c r="I940" s="25" t="str">
        <f>IFERROR(($D940/50-_xlfn.XLOOKUP($E940,$O$35:$O$43,$T$35:$T$43)*F940)/$P$9,"")</f>
        <v/>
      </c>
      <c r="J940" s="25" t="str">
        <f>IFERROR(_xlfn.XLOOKUP($E940,$O$35:$O$43,$T$35:$T$43)*G940/$P$9,"")</f>
        <v/>
      </c>
      <c r="K940" s="25" t="str">
        <f>IF(E940=$O$43,($D940/50-$T$43*$P$9)/$P$9,"")</f>
        <v/>
      </c>
      <c r="L940" s="25" t="str">
        <f>IFERROR(($D940/50-_xlfn.XLOOKUP($H940,$O$48:$O$62,$T$48:$T$62)*$P$14)/$P$9,"")</f>
        <v/>
      </c>
      <c r="M940" s="14">
        <f t="shared" si="14"/>
        <v>0</v>
      </c>
    </row>
    <row r="941" spans="2:13" x14ac:dyDescent="0.25">
      <c r="B941" s="10" t="str">
        <f>IF('Importér data'!C952="type",'Importér data'!F952,"")</f>
        <v/>
      </c>
      <c r="C941" s="10">
        <f>'Importér data'!H952</f>
        <v>0</v>
      </c>
      <c r="D941" s="32" t="str">
        <f>IF('Importér data'!C952="type",'Importér data'!N952,"")</f>
        <v/>
      </c>
      <c r="E941" s="24"/>
      <c r="F941" s="45"/>
      <c r="G941" s="45"/>
      <c r="H941" s="24"/>
      <c r="I941" s="25" t="str">
        <f>IFERROR(($D941/50-_xlfn.XLOOKUP($E941,$O$35:$O$43,$T$35:$T$43)*F941)/$P$9,"")</f>
        <v/>
      </c>
      <c r="J941" s="25" t="str">
        <f>IFERROR(_xlfn.XLOOKUP($E941,$O$35:$O$43,$T$35:$T$43)*G941/$P$9,"")</f>
        <v/>
      </c>
      <c r="K941" s="25" t="str">
        <f>IF(E941=$O$43,($D941/50-$T$43*$P$9)/$P$9,"")</f>
        <v/>
      </c>
      <c r="L941" s="25" t="str">
        <f>IFERROR(($D941/50-_xlfn.XLOOKUP($H941,$O$48:$O$62,$T$48:$T$62)*$P$14)/$P$9,"")</f>
        <v/>
      </c>
      <c r="M941" s="14">
        <f t="shared" si="14"/>
        <v>0</v>
      </c>
    </row>
    <row r="942" spans="2:13" x14ac:dyDescent="0.25">
      <c r="B942" s="10" t="str">
        <f>IF('Importér data'!C953="type",'Importér data'!F953,"")</f>
        <v/>
      </c>
      <c r="C942" s="10">
        <f>'Importér data'!H953</f>
        <v>0</v>
      </c>
      <c r="D942" s="32" t="str">
        <f>IF('Importér data'!C953="type",'Importér data'!N953,"")</f>
        <v/>
      </c>
      <c r="E942" s="24"/>
      <c r="F942" s="45"/>
      <c r="G942" s="45"/>
      <c r="H942" s="24"/>
      <c r="I942" s="25" t="str">
        <f>IFERROR(($D942/50-_xlfn.XLOOKUP($E942,$O$35:$O$43,$T$35:$T$43)*F942)/$P$9,"")</f>
        <v/>
      </c>
      <c r="J942" s="25" t="str">
        <f>IFERROR(_xlfn.XLOOKUP($E942,$O$35:$O$43,$T$35:$T$43)*G942/$P$9,"")</f>
        <v/>
      </c>
      <c r="K942" s="25" t="str">
        <f>IF(E942=$O$43,($D942/50-$T$43*$P$9)/$P$9,"")</f>
        <v/>
      </c>
      <c r="L942" s="25" t="str">
        <f>IFERROR(($D942/50-_xlfn.XLOOKUP($H942,$O$48:$O$62,$T$48:$T$62)*$P$14)/$P$9,"")</f>
        <v/>
      </c>
      <c r="M942" s="14">
        <f t="shared" si="14"/>
        <v>0</v>
      </c>
    </row>
    <row r="943" spans="2:13" x14ac:dyDescent="0.25">
      <c r="B943" s="10" t="str">
        <f>IF('Importér data'!C954="type",'Importér data'!F954,"")</f>
        <v/>
      </c>
      <c r="C943" s="10">
        <f>'Importér data'!H954</f>
        <v>0</v>
      </c>
      <c r="D943" s="32" t="str">
        <f>IF('Importér data'!C954="type",'Importér data'!N954,"")</f>
        <v/>
      </c>
      <c r="E943" s="24"/>
      <c r="F943" s="45"/>
      <c r="G943" s="45"/>
      <c r="H943" s="24"/>
      <c r="I943" s="25" t="str">
        <f>IFERROR(($D943/50-_xlfn.XLOOKUP($E943,$O$35:$O$43,$T$35:$T$43)*F943)/$P$9,"")</f>
        <v/>
      </c>
      <c r="J943" s="25" t="str">
        <f>IFERROR(_xlfn.XLOOKUP($E943,$O$35:$O$43,$T$35:$T$43)*G943/$P$9,"")</f>
        <v/>
      </c>
      <c r="K943" s="25" t="str">
        <f>IF(E943=$O$43,($D943/50-$T$43*$P$9)/$P$9,"")</f>
        <v/>
      </c>
      <c r="L943" s="25" t="str">
        <f>IFERROR(($D943/50-_xlfn.XLOOKUP($H943,$O$48:$O$62,$T$48:$T$62)*$P$14)/$P$9,"")</f>
        <v/>
      </c>
      <c r="M943" s="14">
        <f t="shared" si="14"/>
        <v>0</v>
      </c>
    </row>
    <row r="944" spans="2:13" x14ac:dyDescent="0.25">
      <c r="B944" s="10" t="str">
        <f>IF('Importér data'!C955="type",'Importér data'!F955,"")</f>
        <v/>
      </c>
      <c r="C944" s="10">
        <f>'Importér data'!H955</f>
        <v>0</v>
      </c>
      <c r="D944" s="32" t="str">
        <f>IF('Importér data'!C955="type",'Importér data'!N955,"")</f>
        <v/>
      </c>
      <c r="E944" s="24"/>
      <c r="F944" s="45"/>
      <c r="G944" s="45"/>
      <c r="H944" s="24"/>
      <c r="I944" s="25" t="str">
        <f>IFERROR(($D944/50-_xlfn.XLOOKUP($E944,$O$35:$O$43,$T$35:$T$43)*F944)/$P$9,"")</f>
        <v/>
      </c>
      <c r="J944" s="25" t="str">
        <f>IFERROR(_xlfn.XLOOKUP($E944,$O$35:$O$43,$T$35:$T$43)*G944/$P$9,"")</f>
        <v/>
      </c>
      <c r="K944" s="25" t="str">
        <f>IF(E944=$O$43,($D944/50-$T$43*$P$9)/$P$9,"")</f>
        <v/>
      </c>
      <c r="L944" s="25" t="str">
        <f>IFERROR(($D944/50-_xlfn.XLOOKUP($H944,$O$48:$O$62,$T$48:$T$62)*$P$14)/$P$9,"")</f>
        <v/>
      </c>
      <c r="M944" s="14">
        <f t="shared" si="14"/>
        <v>0</v>
      </c>
    </row>
    <row r="945" spans="2:13" x14ac:dyDescent="0.25">
      <c r="B945" s="10" t="str">
        <f>IF('Importér data'!C956="type",'Importér data'!F956,"")</f>
        <v/>
      </c>
      <c r="C945" s="10">
        <f>'Importér data'!H956</f>
        <v>0</v>
      </c>
      <c r="D945" s="32" t="str">
        <f>IF('Importér data'!C956="type",'Importér data'!N956,"")</f>
        <v/>
      </c>
      <c r="E945" s="24"/>
      <c r="F945" s="45"/>
      <c r="G945" s="45"/>
      <c r="H945" s="24"/>
      <c r="I945" s="25" t="str">
        <f>IFERROR(($D945/50-_xlfn.XLOOKUP($E945,$O$35:$O$43,$T$35:$T$43)*F945)/$P$9,"")</f>
        <v/>
      </c>
      <c r="J945" s="25" t="str">
        <f>IFERROR(_xlfn.XLOOKUP($E945,$O$35:$O$43,$T$35:$T$43)*G945/$P$9,"")</f>
        <v/>
      </c>
      <c r="K945" s="25" t="str">
        <f>IF(E945=$O$43,($D945/50-$T$43*$P$9)/$P$9,"")</f>
        <v/>
      </c>
      <c r="L945" s="25" t="str">
        <f>IFERROR(($D945/50-_xlfn.XLOOKUP($H945,$O$48:$O$62,$T$48:$T$62)*$P$14)/$P$9,"")</f>
        <v/>
      </c>
      <c r="M945" s="14">
        <f t="shared" si="14"/>
        <v>0</v>
      </c>
    </row>
    <row r="946" spans="2:13" x14ac:dyDescent="0.25">
      <c r="B946" s="10" t="str">
        <f>IF('Importér data'!C957="type",'Importér data'!F957,"")</f>
        <v/>
      </c>
      <c r="C946" s="10">
        <f>'Importér data'!H957</f>
        <v>0</v>
      </c>
      <c r="D946" s="32" t="str">
        <f>IF('Importér data'!C957="type",'Importér data'!N957,"")</f>
        <v/>
      </c>
      <c r="E946" s="24"/>
      <c r="F946" s="45"/>
      <c r="G946" s="45"/>
      <c r="H946" s="24"/>
      <c r="I946" s="25" t="str">
        <f>IFERROR(($D946/50-_xlfn.XLOOKUP($E946,$O$35:$O$43,$T$35:$T$43)*F946)/$P$9,"")</f>
        <v/>
      </c>
      <c r="J946" s="25" t="str">
        <f>IFERROR(_xlfn.XLOOKUP($E946,$O$35:$O$43,$T$35:$T$43)*G946/$P$9,"")</f>
        <v/>
      </c>
      <c r="K946" s="25" t="str">
        <f>IF(E946=$O$43,($D946/50-$T$43*$P$9)/$P$9,"")</f>
        <v/>
      </c>
      <c r="L946" s="25" t="str">
        <f>IFERROR(($D946/50-_xlfn.XLOOKUP($H946,$O$48:$O$62,$T$48:$T$62)*$P$14)/$P$9,"")</f>
        <v/>
      </c>
      <c r="M946" s="14">
        <f t="shared" si="14"/>
        <v>0</v>
      </c>
    </row>
    <row r="947" spans="2:13" x14ac:dyDescent="0.25">
      <c r="B947" s="10" t="str">
        <f>IF('Importér data'!C958="type",'Importér data'!F958,"")</f>
        <v/>
      </c>
      <c r="C947" s="10">
        <f>'Importér data'!H958</f>
        <v>0</v>
      </c>
      <c r="D947" s="32" t="str">
        <f>IF('Importér data'!C958="type",'Importér data'!N958,"")</f>
        <v/>
      </c>
      <c r="E947" s="24"/>
      <c r="F947" s="45"/>
      <c r="G947" s="45"/>
      <c r="H947" s="24"/>
      <c r="I947" s="25" t="str">
        <f>IFERROR(($D947/50-_xlfn.XLOOKUP($E947,$O$35:$O$43,$T$35:$T$43)*F947)/$P$9,"")</f>
        <v/>
      </c>
      <c r="J947" s="25" t="str">
        <f>IFERROR(_xlfn.XLOOKUP($E947,$O$35:$O$43,$T$35:$T$43)*G947/$P$9,"")</f>
        <v/>
      </c>
      <c r="K947" s="25" t="str">
        <f>IF(E947=$O$43,($D947/50-$T$43*$P$9)/$P$9,"")</f>
        <v/>
      </c>
      <c r="L947" s="25" t="str">
        <f>IFERROR(($D947/50-_xlfn.XLOOKUP($H947,$O$48:$O$62,$T$48:$T$62)*$P$14)/$P$9,"")</f>
        <v/>
      </c>
      <c r="M947" s="14">
        <f t="shared" si="14"/>
        <v>0</v>
      </c>
    </row>
    <row r="948" spans="2:13" x14ac:dyDescent="0.25">
      <c r="B948" s="10" t="str">
        <f>IF('Importér data'!C959="type",'Importér data'!F959,"")</f>
        <v/>
      </c>
      <c r="C948" s="10">
        <f>'Importér data'!H959</f>
        <v>0</v>
      </c>
      <c r="D948" s="32" t="str">
        <f>IF('Importér data'!C959="type",'Importér data'!N959,"")</f>
        <v/>
      </c>
      <c r="E948" s="24"/>
      <c r="F948" s="45"/>
      <c r="G948" s="45"/>
      <c r="H948" s="24"/>
      <c r="I948" s="25" t="str">
        <f>IFERROR(($D948/50-_xlfn.XLOOKUP($E948,$O$35:$O$43,$T$35:$T$43)*F948)/$P$9,"")</f>
        <v/>
      </c>
      <c r="J948" s="25" t="str">
        <f>IFERROR(_xlfn.XLOOKUP($E948,$O$35:$O$43,$T$35:$T$43)*G948/$P$9,"")</f>
        <v/>
      </c>
      <c r="K948" s="25" t="str">
        <f>IF(E948=$O$43,($D948/50-$T$43*$P$9)/$P$9,"")</f>
        <v/>
      </c>
      <c r="L948" s="25" t="str">
        <f>IFERROR(($D948/50-_xlfn.XLOOKUP($H948,$O$48:$O$62,$T$48:$T$62)*$P$14)/$P$9,"")</f>
        <v/>
      </c>
      <c r="M948" s="14">
        <f t="shared" si="14"/>
        <v>0</v>
      </c>
    </row>
    <row r="949" spans="2:13" x14ac:dyDescent="0.25">
      <c r="B949" s="10" t="str">
        <f>IF('Importér data'!C960="type",'Importér data'!F960,"")</f>
        <v/>
      </c>
      <c r="C949" s="10">
        <f>'Importér data'!H960</f>
        <v>0</v>
      </c>
      <c r="D949" s="32" t="str">
        <f>IF('Importér data'!C960="type",'Importér data'!N960,"")</f>
        <v/>
      </c>
      <c r="E949" s="24"/>
      <c r="F949" s="45"/>
      <c r="G949" s="45"/>
      <c r="H949" s="24"/>
      <c r="I949" s="25" t="str">
        <f>IFERROR(($D949/50-_xlfn.XLOOKUP($E949,$O$35:$O$43,$T$35:$T$43)*F949)/$P$9,"")</f>
        <v/>
      </c>
      <c r="J949" s="25" t="str">
        <f>IFERROR(_xlfn.XLOOKUP($E949,$O$35:$O$43,$T$35:$T$43)*G949/$P$9,"")</f>
        <v/>
      </c>
      <c r="K949" s="25" t="str">
        <f>IF(E949=$O$43,($D949/50-$T$43*$P$9)/$P$9,"")</f>
        <v/>
      </c>
      <c r="L949" s="25" t="str">
        <f>IFERROR(($D949/50-_xlfn.XLOOKUP($H949,$O$48:$O$62,$T$48:$T$62)*$P$14)/$P$9,"")</f>
        <v/>
      </c>
      <c r="M949" s="14">
        <f t="shared" si="14"/>
        <v>0</v>
      </c>
    </row>
    <row r="950" spans="2:13" x14ac:dyDescent="0.25">
      <c r="B950" s="10" t="str">
        <f>IF('Importér data'!C961="type",'Importér data'!F961,"")</f>
        <v/>
      </c>
      <c r="C950" s="10">
        <f>'Importér data'!H961</f>
        <v>0</v>
      </c>
      <c r="D950" s="32" t="str">
        <f>IF('Importér data'!C961="type",'Importér data'!N961,"")</f>
        <v/>
      </c>
      <c r="E950" s="24"/>
      <c r="F950" s="45"/>
      <c r="G950" s="45"/>
      <c r="H950" s="24"/>
      <c r="I950" s="25" t="str">
        <f>IFERROR(($D950/50-_xlfn.XLOOKUP($E950,$O$35:$O$43,$T$35:$T$43)*F950)/$P$9,"")</f>
        <v/>
      </c>
      <c r="J950" s="25" t="str">
        <f>IFERROR(_xlfn.XLOOKUP($E950,$O$35:$O$43,$T$35:$T$43)*G950/$P$9,"")</f>
        <v/>
      </c>
      <c r="K950" s="25" t="str">
        <f>IF(E950=$O$43,($D950/50-$T$43*$P$9)/$P$9,"")</f>
        <v/>
      </c>
      <c r="L950" s="25" t="str">
        <f>IFERROR(($D950/50-_xlfn.XLOOKUP($H950,$O$48:$O$62,$T$48:$T$62)*$P$14)/$P$9,"")</f>
        <v/>
      </c>
      <c r="M950" s="14">
        <f t="shared" si="14"/>
        <v>0</v>
      </c>
    </row>
    <row r="951" spans="2:13" x14ac:dyDescent="0.25">
      <c r="B951" s="10" t="str">
        <f>IF('Importér data'!C962="type",'Importér data'!F962,"")</f>
        <v/>
      </c>
      <c r="C951" s="10">
        <f>'Importér data'!H962</f>
        <v>0</v>
      </c>
      <c r="D951" s="32" t="str">
        <f>IF('Importér data'!C962="type",'Importér data'!N962,"")</f>
        <v/>
      </c>
      <c r="E951" s="24"/>
      <c r="F951" s="45"/>
      <c r="G951" s="45"/>
      <c r="H951" s="24"/>
      <c r="I951" s="25" t="str">
        <f>IFERROR(($D951/50-_xlfn.XLOOKUP($E951,$O$35:$O$43,$T$35:$T$43)*F951)/$P$9,"")</f>
        <v/>
      </c>
      <c r="J951" s="25" t="str">
        <f>IFERROR(_xlfn.XLOOKUP($E951,$O$35:$O$43,$T$35:$T$43)*G951/$P$9,"")</f>
        <v/>
      </c>
      <c r="K951" s="25" t="str">
        <f>IF(E951=$O$43,($D951/50-$T$43*$P$9)/$P$9,"")</f>
        <v/>
      </c>
      <c r="L951" s="25" t="str">
        <f>IFERROR(($D951/50-_xlfn.XLOOKUP($H951,$O$48:$O$62,$T$48:$T$62)*$P$14)/$P$9,"")</f>
        <v/>
      </c>
      <c r="M951" s="14">
        <f t="shared" si="14"/>
        <v>0</v>
      </c>
    </row>
    <row r="952" spans="2:13" x14ac:dyDescent="0.25">
      <c r="B952" s="10" t="str">
        <f>IF('Importér data'!C963="type",'Importér data'!F963,"")</f>
        <v/>
      </c>
      <c r="C952" s="10">
        <f>'Importér data'!H963</f>
        <v>0</v>
      </c>
      <c r="D952" s="32" t="str">
        <f>IF('Importér data'!C963="type",'Importér data'!N963,"")</f>
        <v/>
      </c>
      <c r="E952" s="24"/>
      <c r="F952" s="45"/>
      <c r="G952" s="45"/>
      <c r="H952" s="24"/>
      <c r="I952" s="25" t="str">
        <f>IFERROR(($D952/50-_xlfn.XLOOKUP($E952,$O$35:$O$43,$T$35:$T$43)*F952)/$P$9,"")</f>
        <v/>
      </c>
      <c r="J952" s="25" t="str">
        <f>IFERROR(_xlfn.XLOOKUP($E952,$O$35:$O$43,$T$35:$T$43)*G952/$P$9,"")</f>
        <v/>
      </c>
      <c r="K952" s="25" t="str">
        <f>IF(E952=$O$43,($D952/50-$T$43*$P$9)/$P$9,"")</f>
        <v/>
      </c>
      <c r="L952" s="25" t="str">
        <f>IFERROR(($D952/50-_xlfn.XLOOKUP($H952,$O$48:$O$62,$T$48:$T$62)*$P$14)/$P$9,"")</f>
        <v/>
      </c>
      <c r="M952" s="14">
        <f t="shared" si="14"/>
        <v>0</v>
      </c>
    </row>
    <row r="953" spans="2:13" x14ac:dyDescent="0.25">
      <c r="B953" s="10" t="str">
        <f>IF('Importér data'!C964="type",'Importér data'!F964,"")</f>
        <v/>
      </c>
      <c r="C953" s="10">
        <f>'Importér data'!H964</f>
        <v>0</v>
      </c>
      <c r="D953" s="32" t="str">
        <f>IF('Importér data'!C964="type",'Importér data'!N964,"")</f>
        <v/>
      </c>
      <c r="E953" s="24"/>
      <c r="F953" s="45"/>
      <c r="G953" s="45"/>
      <c r="H953" s="24"/>
      <c r="I953" s="25" t="str">
        <f>IFERROR(($D953/50-_xlfn.XLOOKUP($E953,$O$35:$O$43,$T$35:$T$43)*F953)/$P$9,"")</f>
        <v/>
      </c>
      <c r="J953" s="25" t="str">
        <f>IFERROR(_xlfn.XLOOKUP($E953,$O$35:$O$43,$T$35:$T$43)*G953/$P$9,"")</f>
        <v/>
      </c>
      <c r="K953" s="25" t="str">
        <f>IF(E953=$O$43,($D953/50-$T$43*$P$9)/$P$9,"")</f>
        <v/>
      </c>
      <c r="L953" s="25" t="str">
        <f>IFERROR(($D953/50-_xlfn.XLOOKUP($H953,$O$48:$O$62,$T$48:$T$62)*$P$14)/$P$9,"")</f>
        <v/>
      </c>
      <c r="M953" s="14">
        <f t="shared" si="14"/>
        <v>0</v>
      </c>
    </row>
    <row r="954" spans="2:13" x14ac:dyDescent="0.25">
      <c r="B954" s="10" t="str">
        <f>IF('Importér data'!C965="type",'Importér data'!F965,"")</f>
        <v/>
      </c>
      <c r="C954" s="10">
        <f>'Importér data'!H965</f>
        <v>0</v>
      </c>
      <c r="D954" s="32" t="str">
        <f>IF('Importér data'!C965="type",'Importér data'!N965,"")</f>
        <v/>
      </c>
      <c r="E954" s="24"/>
      <c r="F954" s="45"/>
      <c r="G954" s="45"/>
      <c r="H954" s="24"/>
      <c r="I954" s="25" t="str">
        <f>IFERROR(($D954/50-_xlfn.XLOOKUP($E954,$O$35:$O$43,$T$35:$T$43)*F954)/$P$9,"")</f>
        <v/>
      </c>
      <c r="J954" s="25" t="str">
        <f>IFERROR(_xlfn.XLOOKUP($E954,$O$35:$O$43,$T$35:$T$43)*G954/$P$9,"")</f>
        <v/>
      </c>
      <c r="K954" s="25" t="str">
        <f>IF(E954=$O$43,($D954/50-$T$43*$P$9)/$P$9,"")</f>
        <v/>
      </c>
      <c r="L954" s="25" t="str">
        <f>IFERROR(($D954/50-_xlfn.XLOOKUP($H954,$O$48:$O$62,$T$48:$T$62)*$P$14)/$P$9,"")</f>
        <v/>
      </c>
      <c r="M954" s="14">
        <f t="shared" si="14"/>
        <v>0</v>
      </c>
    </row>
    <row r="955" spans="2:13" x14ac:dyDescent="0.25">
      <c r="B955" s="10" t="str">
        <f>IF('Importér data'!C966="type",'Importér data'!F966,"")</f>
        <v/>
      </c>
      <c r="C955" s="10">
        <f>'Importér data'!H966</f>
        <v>0</v>
      </c>
      <c r="D955" s="32" t="str">
        <f>IF('Importér data'!C966="type",'Importér data'!N966,"")</f>
        <v/>
      </c>
      <c r="E955" s="24"/>
      <c r="F955" s="45"/>
      <c r="G955" s="45"/>
      <c r="H955" s="24"/>
      <c r="I955" s="25" t="str">
        <f>IFERROR(($D955/50-_xlfn.XLOOKUP($E955,$O$35:$O$43,$T$35:$T$43)*F955)/$P$9,"")</f>
        <v/>
      </c>
      <c r="J955" s="25" t="str">
        <f>IFERROR(_xlfn.XLOOKUP($E955,$O$35:$O$43,$T$35:$T$43)*G955/$P$9,"")</f>
        <v/>
      </c>
      <c r="K955" s="25" t="str">
        <f>IF(E955=$O$43,($D955/50-$T$43*$P$9)/$P$9,"")</f>
        <v/>
      </c>
      <c r="L955" s="25" t="str">
        <f>IFERROR(($D955/50-_xlfn.XLOOKUP($H955,$O$48:$O$62,$T$48:$T$62)*$P$14)/$P$9,"")</f>
        <v/>
      </c>
      <c r="M955" s="14">
        <f t="shared" si="14"/>
        <v>0</v>
      </c>
    </row>
    <row r="956" spans="2:13" x14ac:dyDescent="0.25">
      <c r="B956" s="10" t="str">
        <f>IF('Importér data'!C967="type",'Importér data'!F967,"")</f>
        <v/>
      </c>
      <c r="C956" s="10">
        <f>'Importér data'!H967</f>
        <v>0</v>
      </c>
      <c r="D956" s="32" t="str">
        <f>IF('Importér data'!C967="type",'Importér data'!N967,"")</f>
        <v/>
      </c>
      <c r="E956" s="24"/>
      <c r="F956" s="45"/>
      <c r="G956" s="45"/>
      <c r="H956" s="24"/>
      <c r="I956" s="25" t="str">
        <f>IFERROR(($D956/50-_xlfn.XLOOKUP($E956,$O$35:$O$43,$T$35:$T$43)*F956)/$P$9,"")</f>
        <v/>
      </c>
      <c r="J956" s="25" t="str">
        <f>IFERROR(_xlfn.XLOOKUP($E956,$O$35:$O$43,$T$35:$T$43)*G956/$P$9,"")</f>
        <v/>
      </c>
      <c r="K956" s="25" t="str">
        <f>IF(E956=$O$43,($D956/50-$T$43*$P$9)/$P$9,"")</f>
        <v/>
      </c>
      <c r="L956" s="25" t="str">
        <f>IFERROR(($D956/50-_xlfn.XLOOKUP($H956,$O$48:$O$62,$T$48:$T$62)*$P$14)/$P$9,"")</f>
        <v/>
      </c>
      <c r="M956" s="14">
        <f t="shared" si="14"/>
        <v>0</v>
      </c>
    </row>
    <row r="957" spans="2:13" x14ac:dyDescent="0.25">
      <c r="B957" s="10" t="str">
        <f>IF('Importér data'!C968="type",'Importér data'!F968,"")</f>
        <v/>
      </c>
      <c r="C957" s="10">
        <f>'Importér data'!H968</f>
        <v>0</v>
      </c>
      <c r="D957" s="32" t="str">
        <f>IF('Importér data'!C968="type",'Importér data'!N968,"")</f>
        <v/>
      </c>
      <c r="E957" s="24"/>
      <c r="F957" s="45"/>
      <c r="G957" s="45"/>
      <c r="H957" s="24"/>
      <c r="I957" s="25" t="str">
        <f>IFERROR(($D957/50-_xlfn.XLOOKUP($E957,$O$35:$O$43,$T$35:$T$43)*F957)/$P$9,"")</f>
        <v/>
      </c>
      <c r="J957" s="25" t="str">
        <f>IFERROR(_xlfn.XLOOKUP($E957,$O$35:$O$43,$T$35:$T$43)*G957/$P$9,"")</f>
        <v/>
      </c>
      <c r="K957" s="25" t="str">
        <f>IF(E957=$O$43,($D957/50-$T$43*$P$9)/$P$9,"")</f>
        <v/>
      </c>
      <c r="L957" s="25" t="str">
        <f>IFERROR(($D957/50-_xlfn.XLOOKUP($H957,$O$48:$O$62,$T$48:$T$62)*$P$14)/$P$9,"")</f>
        <v/>
      </c>
      <c r="M957" s="14">
        <f t="shared" si="14"/>
        <v>0</v>
      </c>
    </row>
    <row r="958" spans="2:13" x14ac:dyDescent="0.25">
      <c r="B958" s="10" t="str">
        <f>IF('Importér data'!C969="type",'Importér data'!F969,"")</f>
        <v/>
      </c>
      <c r="C958" s="10">
        <f>'Importér data'!H969</f>
        <v>0</v>
      </c>
      <c r="D958" s="32" t="str">
        <f>IF('Importér data'!C969="type",'Importér data'!N969,"")</f>
        <v/>
      </c>
      <c r="E958" s="24"/>
      <c r="F958" s="45"/>
      <c r="G958" s="45"/>
      <c r="H958" s="24"/>
      <c r="I958" s="25" t="str">
        <f>IFERROR(($D958/50-_xlfn.XLOOKUP($E958,$O$35:$O$43,$T$35:$T$43)*F958)/$P$9,"")</f>
        <v/>
      </c>
      <c r="J958" s="25" t="str">
        <f>IFERROR(_xlfn.XLOOKUP($E958,$O$35:$O$43,$T$35:$T$43)*G958/$P$9,"")</f>
        <v/>
      </c>
      <c r="K958" s="25" t="str">
        <f>IF(E958=$O$43,($D958/50-$T$43*$P$9)/$P$9,"")</f>
        <v/>
      </c>
      <c r="L958" s="25" t="str">
        <f>IFERROR(($D958/50-_xlfn.XLOOKUP($H958,$O$48:$O$62,$T$48:$T$62)*$P$14)/$P$9,"")</f>
        <v/>
      </c>
      <c r="M958" s="14">
        <f t="shared" si="14"/>
        <v>0</v>
      </c>
    </row>
    <row r="959" spans="2:13" x14ac:dyDescent="0.25">
      <c r="B959" s="10" t="str">
        <f>IF('Importér data'!C970="type",'Importér data'!F970,"")</f>
        <v/>
      </c>
      <c r="C959" s="10">
        <f>'Importér data'!H970</f>
        <v>0</v>
      </c>
      <c r="D959" s="32" t="str">
        <f>IF('Importér data'!C970="type",'Importér data'!N970,"")</f>
        <v/>
      </c>
      <c r="E959" s="24"/>
      <c r="F959" s="45"/>
      <c r="G959" s="45"/>
      <c r="H959" s="24"/>
      <c r="I959" s="25" t="str">
        <f>IFERROR(($D959/50-_xlfn.XLOOKUP($E959,$O$35:$O$43,$T$35:$T$43)*F959)/$P$9,"")</f>
        <v/>
      </c>
      <c r="J959" s="25" t="str">
        <f>IFERROR(_xlfn.XLOOKUP($E959,$O$35:$O$43,$T$35:$T$43)*G959/$P$9,"")</f>
        <v/>
      </c>
      <c r="K959" s="25" t="str">
        <f>IF(E959=$O$43,($D959/50-$T$43*$P$9)/$P$9,"")</f>
        <v/>
      </c>
      <c r="L959" s="25" t="str">
        <f>IFERROR(($D959/50-_xlfn.XLOOKUP($H959,$O$48:$O$62,$T$48:$T$62)*$P$14)/$P$9,"")</f>
        <v/>
      </c>
      <c r="M959" s="14">
        <f t="shared" si="14"/>
        <v>0</v>
      </c>
    </row>
    <row r="960" spans="2:13" x14ac:dyDescent="0.25">
      <c r="B960" s="10" t="str">
        <f>IF('Importér data'!C971="type",'Importér data'!F971,"")</f>
        <v/>
      </c>
      <c r="C960" s="10">
        <f>'Importér data'!H971</f>
        <v>0</v>
      </c>
      <c r="D960" s="32" t="str">
        <f>IF('Importér data'!C971="type",'Importér data'!N971,"")</f>
        <v/>
      </c>
      <c r="E960" s="24"/>
      <c r="F960" s="45"/>
      <c r="G960" s="45"/>
      <c r="H960" s="24"/>
      <c r="I960" s="25" t="str">
        <f>IFERROR(($D960/50-_xlfn.XLOOKUP($E960,$O$35:$O$43,$T$35:$T$43)*F960)/$P$9,"")</f>
        <v/>
      </c>
      <c r="J960" s="25" t="str">
        <f>IFERROR(_xlfn.XLOOKUP($E960,$O$35:$O$43,$T$35:$T$43)*G960/$P$9,"")</f>
        <v/>
      </c>
      <c r="K960" s="25" t="str">
        <f>IF(E960=$O$43,($D960/50-$T$43*$P$9)/$P$9,"")</f>
        <v/>
      </c>
      <c r="L960" s="25" t="str">
        <f>IFERROR(($D960/50-_xlfn.XLOOKUP($H960,$O$48:$O$62,$T$48:$T$62)*$P$14)/$P$9,"")</f>
        <v/>
      </c>
      <c r="M960" s="14">
        <f t="shared" si="14"/>
        <v>0</v>
      </c>
    </row>
    <row r="961" spans="2:13" x14ac:dyDescent="0.25">
      <c r="B961" s="10" t="str">
        <f>IF('Importér data'!C972="type",'Importér data'!F972,"")</f>
        <v/>
      </c>
      <c r="C961" s="10">
        <f>'Importér data'!H972</f>
        <v>0</v>
      </c>
      <c r="D961" s="32" t="str">
        <f>IF('Importér data'!C972="type",'Importér data'!N972,"")</f>
        <v/>
      </c>
      <c r="E961" s="24"/>
      <c r="F961" s="45"/>
      <c r="G961" s="45"/>
      <c r="H961" s="24"/>
      <c r="I961" s="25" t="str">
        <f>IFERROR(($D961/50-_xlfn.XLOOKUP($E961,$O$35:$O$43,$T$35:$T$43)*F961)/$P$9,"")</f>
        <v/>
      </c>
      <c r="J961" s="25" t="str">
        <f>IFERROR(_xlfn.XLOOKUP($E961,$O$35:$O$43,$T$35:$T$43)*G961/$P$9,"")</f>
        <v/>
      </c>
      <c r="K961" s="25" t="str">
        <f>IF(E961=$O$43,($D961/50-$T$43*$P$9)/$P$9,"")</f>
        <v/>
      </c>
      <c r="L961" s="25" t="str">
        <f>IFERROR(($D961/50-_xlfn.XLOOKUP($H961,$O$48:$O$62,$T$48:$T$62)*$P$14)/$P$9,"")</f>
        <v/>
      </c>
      <c r="M961" s="14">
        <f t="shared" si="14"/>
        <v>0</v>
      </c>
    </row>
    <row r="962" spans="2:13" x14ac:dyDescent="0.25">
      <c r="B962" s="10" t="str">
        <f>IF('Importér data'!C973="type",'Importér data'!F973,"")</f>
        <v/>
      </c>
      <c r="C962" s="10">
        <f>'Importér data'!H973</f>
        <v>0</v>
      </c>
      <c r="D962" s="32" t="str">
        <f>IF('Importér data'!C973="type",'Importér data'!N973,"")</f>
        <v/>
      </c>
      <c r="E962" s="24"/>
      <c r="F962" s="45"/>
      <c r="G962" s="45"/>
      <c r="H962" s="24"/>
      <c r="I962" s="25" t="str">
        <f>IFERROR(($D962/50-_xlfn.XLOOKUP($E962,$O$35:$O$43,$T$35:$T$43)*F962)/$P$9,"")</f>
        <v/>
      </c>
      <c r="J962" s="25" t="str">
        <f>IFERROR(_xlfn.XLOOKUP($E962,$O$35:$O$43,$T$35:$T$43)*G962/$P$9,"")</f>
        <v/>
      </c>
      <c r="K962" s="25" t="str">
        <f>IF(E962=$O$43,($D962/50-$T$43*$P$9)/$P$9,"")</f>
        <v/>
      </c>
      <c r="L962" s="25" t="str">
        <f>IFERROR(($D962/50-_xlfn.XLOOKUP($H962,$O$48:$O$62,$T$48:$T$62)*$P$14)/$P$9,"")</f>
        <v/>
      </c>
      <c r="M962" s="14">
        <f t="shared" si="14"/>
        <v>0</v>
      </c>
    </row>
    <row r="963" spans="2:13" x14ac:dyDescent="0.25">
      <c r="B963" s="10" t="str">
        <f>IF('Importér data'!C974="type",'Importér data'!F974,"")</f>
        <v/>
      </c>
      <c r="C963" s="10">
        <f>'Importér data'!H974</f>
        <v>0</v>
      </c>
      <c r="D963" s="32" t="str">
        <f>IF('Importér data'!C974="type",'Importér data'!N974,"")</f>
        <v/>
      </c>
      <c r="E963" s="24"/>
      <c r="F963" s="45"/>
      <c r="G963" s="45"/>
      <c r="H963" s="24"/>
      <c r="I963" s="25" t="str">
        <f>IFERROR(($D963/50-_xlfn.XLOOKUP($E963,$O$35:$O$43,$T$35:$T$43)*F963)/$P$9,"")</f>
        <v/>
      </c>
      <c r="J963" s="25" t="str">
        <f>IFERROR(_xlfn.XLOOKUP($E963,$O$35:$O$43,$T$35:$T$43)*G963/$P$9,"")</f>
        <v/>
      </c>
      <c r="K963" s="25" t="str">
        <f>IF(E963=$O$43,($D963/50-$T$43*$P$9)/$P$9,"")</f>
        <v/>
      </c>
      <c r="L963" s="25" t="str">
        <f>IFERROR(($D963/50-_xlfn.XLOOKUP($H963,$O$48:$O$62,$T$48:$T$62)*$P$14)/$P$9,"")</f>
        <v/>
      </c>
      <c r="M963" s="14">
        <f t="shared" si="14"/>
        <v>0</v>
      </c>
    </row>
    <row r="964" spans="2:13" x14ac:dyDescent="0.25">
      <c r="B964" s="10" t="str">
        <f>IF('Importér data'!C975="type",'Importér data'!F975,"")</f>
        <v/>
      </c>
      <c r="C964" s="10">
        <f>'Importér data'!H975</f>
        <v>0</v>
      </c>
      <c r="D964" s="32" t="str">
        <f>IF('Importér data'!C975="type",'Importér data'!N975,"")</f>
        <v/>
      </c>
      <c r="E964" s="24"/>
      <c r="F964" s="45"/>
      <c r="G964" s="45"/>
      <c r="H964" s="24"/>
      <c r="I964" s="25" t="str">
        <f>IFERROR(($D964/50-_xlfn.XLOOKUP($E964,$O$35:$O$43,$T$35:$T$43)*F964)/$P$9,"")</f>
        <v/>
      </c>
      <c r="J964" s="25" t="str">
        <f>IFERROR(_xlfn.XLOOKUP($E964,$O$35:$O$43,$T$35:$T$43)*G964/$P$9,"")</f>
        <v/>
      </c>
      <c r="K964" s="25" t="str">
        <f>IF(E964=$O$43,($D964/50-$T$43*$P$9)/$P$9,"")</f>
        <v/>
      </c>
      <c r="L964" s="25" t="str">
        <f>IFERROR(($D964/50-_xlfn.XLOOKUP($H964,$O$48:$O$62,$T$48:$T$62)*$P$14)/$P$9,"")</f>
        <v/>
      </c>
      <c r="M964" s="14">
        <f t="shared" si="14"/>
        <v>0</v>
      </c>
    </row>
    <row r="965" spans="2:13" x14ac:dyDescent="0.25">
      <c r="B965" s="10" t="str">
        <f>IF('Importér data'!C976="type",'Importér data'!F976,"")</f>
        <v/>
      </c>
      <c r="C965" s="10">
        <f>'Importér data'!H976</f>
        <v>0</v>
      </c>
      <c r="D965" s="32" t="str">
        <f>IF('Importér data'!C976="type",'Importér data'!N976,"")</f>
        <v/>
      </c>
      <c r="E965" s="24"/>
      <c r="F965" s="45"/>
      <c r="G965" s="45"/>
      <c r="H965" s="24"/>
      <c r="I965" s="25" t="str">
        <f>IFERROR(($D965/50-_xlfn.XLOOKUP($E965,$O$35:$O$43,$T$35:$T$43)*F965)/$P$9,"")</f>
        <v/>
      </c>
      <c r="J965" s="25" t="str">
        <f>IFERROR(_xlfn.XLOOKUP($E965,$O$35:$O$43,$T$35:$T$43)*G965/$P$9,"")</f>
        <v/>
      </c>
      <c r="K965" s="25" t="str">
        <f>IF(E965=$O$43,($D965/50-$T$43*$P$9)/$P$9,"")</f>
        <v/>
      </c>
      <c r="L965" s="25" t="str">
        <f>IFERROR(($D965/50-_xlfn.XLOOKUP($H965,$O$48:$O$62,$T$48:$T$62)*$P$14)/$P$9,"")</f>
        <v/>
      </c>
      <c r="M965" s="14">
        <f t="shared" si="14"/>
        <v>0</v>
      </c>
    </row>
    <row r="966" spans="2:13" x14ac:dyDescent="0.25">
      <c r="B966" s="10" t="str">
        <f>IF('Importér data'!C977="type",'Importér data'!F977,"")</f>
        <v/>
      </c>
      <c r="C966" s="10">
        <f>'Importér data'!H977</f>
        <v>0</v>
      </c>
      <c r="D966" s="32" t="str">
        <f>IF('Importér data'!C977="type",'Importér data'!N977,"")</f>
        <v/>
      </c>
      <c r="E966" s="24"/>
      <c r="F966" s="45"/>
      <c r="G966" s="45"/>
      <c r="H966" s="24"/>
      <c r="I966" s="25" t="str">
        <f>IFERROR(($D966/50-_xlfn.XLOOKUP($E966,$O$35:$O$43,$T$35:$T$43)*F966)/$P$9,"")</f>
        <v/>
      </c>
      <c r="J966" s="25" t="str">
        <f>IFERROR(_xlfn.XLOOKUP($E966,$O$35:$O$43,$T$35:$T$43)*G966/$P$9,"")</f>
        <v/>
      </c>
      <c r="K966" s="25" t="str">
        <f>IF(E966=$O$43,($D966/50-$T$43*$P$9)/$P$9,"")</f>
        <v/>
      </c>
      <c r="L966" s="25" t="str">
        <f>IFERROR(($D966/50-_xlfn.XLOOKUP($H966,$O$48:$O$62,$T$48:$T$62)*$P$14)/$P$9,"")</f>
        <v/>
      </c>
      <c r="M966" s="14">
        <f t="shared" ref="M966:M999" si="15">SUM(I966:L966)</f>
        <v>0</v>
      </c>
    </row>
    <row r="967" spans="2:13" x14ac:dyDescent="0.25">
      <c r="B967" s="10" t="str">
        <f>IF('Importér data'!C978="type",'Importér data'!F978,"")</f>
        <v/>
      </c>
      <c r="C967" s="10">
        <f>'Importér data'!H978</f>
        <v>0</v>
      </c>
      <c r="D967" s="32" t="str">
        <f>IF('Importér data'!C978="type",'Importér data'!N978,"")</f>
        <v/>
      </c>
      <c r="E967" s="24"/>
      <c r="F967" s="45"/>
      <c r="G967" s="45"/>
      <c r="H967" s="24"/>
      <c r="I967" s="25" t="str">
        <f>IFERROR(($D967/50-_xlfn.XLOOKUP($E967,$O$35:$O$43,$T$35:$T$43)*F967)/$P$9,"")</f>
        <v/>
      </c>
      <c r="J967" s="25" t="str">
        <f>IFERROR(_xlfn.XLOOKUP($E967,$O$35:$O$43,$T$35:$T$43)*G967/$P$9,"")</f>
        <v/>
      </c>
      <c r="K967" s="25" t="str">
        <f>IF(E967=$O$43,($D967/50-$T$43*$P$9)/$P$9,"")</f>
        <v/>
      </c>
      <c r="L967" s="25" t="str">
        <f>IFERROR(($D967/50-_xlfn.XLOOKUP($H967,$O$48:$O$62,$T$48:$T$62)*$P$14)/$P$9,"")</f>
        <v/>
      </c>
      <c r="M967" s="14">
        <f t="shared" si="15"/>
        <v>0</v>
      </c>
    </row>
    <row r="968" spans="2:13" x14ac:dyDescent="0.25">
      <c r="B968" s="10" t="str">
        <f>IF('Importér data'!C979="type",'Importér data'!F979,"")</f>
        <v/>
      </c>
      <c r="C968" s="10">
        <f>'Importér data'!H979</f>
        <v>0</v>
      </c>
      <c r="D968" s="32" t="str">
        <f>IF('Importér data'!C979="type",'Importér data'!N979,"")</f>
        <v/>
      </c>
      <c r="E968" s="24"/>
      <c r="F968" s="45"/>
      <c r="G968" s="45"/>
      <c r="H968" s="24"/>
      <c r="I968" s="25" t="str">
        <f>IFERROR(($D968/50-_xlfn.XLOOKUP($E968,$O$35:$O$43,$T$35:$T$43)*F968)/$P$9,"")</f>
        <v/>
      </c>
      <c r="J968" s="25" t="str">
        <f>IFERROR(_xlfn.XLOOKUP($E968,$O$35:$O$43,$T$35:$T$43)*G968/$P$9,"")</f>
        <v/>
      </c>
      <c r="K968" s="25" t="str">
        <f>IF(E968=$O$43,($D968/50-$T$43*$P$9)/$P$9,"")</f>
        <v/>
      </c>
      <c r="L968" s="25" t="str">
        <f>IFERROR(($D968/50-_xlfn.XLOOKUP($H968,$O$48:$O$62,$T$48:$T$62)*$P$14)/$P$9,"")</f>
        <v/>
      </c>
      <c r="M968" s="14">
        <f t="shared" si="15"/>
        <v>0</v>
      </c>
    </row>
    <row r="969" spans="2:13" x14ac:dyDescent="0.25">
      <c r="B969" s="10" t="str">
        <f>IF('Importér data'!C980="type",'Importér data'!F980,"")</f>
        <v/>
      </c>
      <c r="C969" s="10">
        <f>'Importér data'!H980</f>
        <v>0</v>
      </c>
      <c r="D969" s="32" t="str">
        <f>IF('Importér data'!C980="type",'Importér data'!N980,"")</f>
        <v/>
      </c>
      <c r="E969" s="24"/>
      <c r="F969" s="45"/>
      <c r="G969" s="45"/>
      <c r="H969" s="24"/>
      <c r="I969" s="25" t="str">
        <f>IFERROR(($D969/50-_xlfn.XLOOKUP($E969,$O$35:$O$43,$T$35:$T$43)*F969)/$P$9,"")</f>
        <v/>
      </c>
      <c r="J969" s="25" t="str">
        <f>IFERROR(_xlfn.XLOOKUP($E969,$O$35:$O$43,$T$35:$T$43)*G969/$P$9,"")</f>
        <v/>
      </c>
      <c r="K969" s="25" t="str">
        <f>IF(E969=$O$43,($D969/50-$T$43*$P$9)/$P$9,"")</f>
        <v/>
      </c>
      <c r="L969" s="25" t="str">
        <f>IFERROR(($D969/50-_xlfn.XLOOKUP($H969,$O$48:$O$62,$T$48:$T$62)*$P$14)/$P$9,"")</f>
        <v/>
      </c>
      <c r="M969" s="14">
        <f t="shared" si="15"/>
        <v>0</v>
      </c>
    </row>
    <row r="970" spans="2:13" x14ac:dyDescent="0.25">
      <c r="B970" s="10" t="str">
        <f>IF('Importér data'!C981="type",'Importér data'!F981,"")</f>
        <v/>
      </c>
      <c r="C970" s="10">
        <f>'Importér data'!H981</f>
        <v>0</v>
      </c>
      <c r="D970" s="32" t="str">
        <f>IF('Importér data'!C981="type",'Importér data'!N981,"")</f>
        <v/>
      </c>
      <c r="E970" s="24"/>
      <c r="F970" s="45"/>
      <c r="G970" s="45"/>
      <c r="H970" s="24"/>
      <c r="I970" s="25" t="str">
        <f>IFERROR(($D970/50-_xlfn.XLOOKUP($E970,$O$35:$O$43,$T$35:$T$43)*F970)/$P$9,"")</f>
        <v/>
      </c>
      <c r="J970" s="25" t="str">
        <f>IFERROR(_xlfn.XLOOKUP($E970,$O$35:$O$43,$T$35:$T$43)*G970/$P$9,"")</f>
        <v/>
      </c>
      <c r="K970" s="25" t="str">
        <f>IF(E970=$O$43,($D970/50-$T$43*$P$9)/$P$9,"")</f>
        <v/>
      </c>
      <c r="L970" s="25" t="str">
        <f>IFERROR(($D970/50-_xlfn.XLOOKUP($H970,$O$48:$O$62,$T$48:$T$62)*$P$14)/$P$9,"")</f>
        <v/>
      </c>
      <c r="M970" s="14">
        <f t="shared" si="15"/>
        <v>0</v>
      </c>
    </row>
    <row r="971" spans="2:13" x14ac:dyDescent="0.25">
      <c r="B971" s="10" t="str">
        <f>IF('Importér data'!C982="type",'Importér data'!F982,"")</f>
        <v/>
      </c>
      <c r="C971" s="10">
        <f>'Importér data'!H982</f>
        <v>0</v>
      </c>
      <c r="D971" s="32" t="str">
        <f>IF('Importér data'!C982="type",'Importér data'!N982,"")</f>
        <v/>
      </c>
      <c r="E971" s="24"/>
      <c r="F971" s="45"/>
      <c r="G971" s="45"/>
      <c r="H971" s="24"/>
      <c r="I971" s="25" t="str">
        <f>IFERROR(($D971/50-_xlfn.XLOOKUP($E971,$O$35:$O$43,$T$35:$T$43)*F971)/$P$9,"")</f>
        <v/>
      </c>
      <c r="J971" s="25" t="str">
        <f>IFERROR(_xlfn.XLOOKUP($E971,$O$35:$O$43,$T$35:$T$43)*G971/$P$9,"")</f>
        <v/>
      </c>
      <c r="K971" s="25" t="str">
        <f>IF(E971=$O$43,($D971/50-$T$43*$P$9)/$P$9,"")</f>
        <v/>
      </c>
      <c r="L971" s="25" t="str">
        <f>IFERROR(($D971/50-_xlfn.XLOOKUP($H971,$O$48:$O$62,$T$48:$T$62)*$P$14)/$P$9,"")</f>
        <v/>
      </c>
      <c r="M971" s="14">
        <f t="shared" si="15"/>
        <v>0</v>
      </c>
    </row>
    <row r="972" spans="2:13" x14ac:dyDescent="0.25">
      <c r="B972" s="10" t="str">
        <f>IF('Importér data'!C983="type",'Importér data'!F983,"")</f>
        <v/>
      </c>
      <c r="C972" s="10">
        <f>'Importér data'!H983</f>
        <v>0</v>
      </c>
      <c r="D972" s="32" t="str">
        <f>IF('Importér data'!C983="type",'Importér data'!N983,"")</f>
        <v/>
      </c>
      <c r="E972" s="24"/>
      <c r="F972" s="45"/>
      <c r="G972" s="45"/>
      <c r="H972" s="24"/>
      <c r="I972" s="25" t="str">
        <f>IFERROR(($D972/50-_xlfn.XLOOKUP($E972,$O$35:$O$43,$T$35:$T$43)*F972)/$P$9,"")</f>
        <v/>
      </c>
      <c r="J972" s="25" t="str">
        <f>IFERROR(_xlfn.XLOOKUP($E972,$O$35:$O$43,$T$35:$T$43)*G972/$P$9,"")</f>
        <v/>
      </c>
      <c r="K972" s="25" t="str">
        <f>IF(E972=$O$43,($D972/50-$T$43*$P$9)/$P$9,"")</f>
        <v/>
      </c>
      <c r="L972" s="25" t="str">
        <f>IFERROR(($D972/50-_xlfn.XLOOKUP($H972,$O$48:$O$62,$T$48:$T$62)*$P$14)/$P$9,"")</f>
        <v/>
      </c>
      <c r="M972" s="14">
        <f t="shared" si="15"/>
        <v>0</v>
      </c>
    </row>
    <row r="973" spans="2:13" x14ac:dyDescent="0.25">
      <c r="B973" s="10" t="str">
        <f>IF('Importér data'!C984="type",'Importér data'!F984,"")</f>
        <v/>
      </c>
      <c r="C973" s="10">
        <f>'Importér data'!H984</f>
        <v>0</v>
      </c>
      <c r="D973" s="32" t="str">
        <f>IF('Importér data'!C984="type",'Importér data'!N984,"")</f>
        <v/>
      </c>
      <c r="E973" s="24"/>
      <c r="F973" s="45"/>
      <c r="G973" s="45"/>
      <c r="H973" s="24"/>
      <c r="I973" s="25" t="str">
        <f>IFERROR(($D973/50-_xlfn.XLOOKUP($E973,$O$35:$O$43,$T$35:$T$43)*F973)/$P$9,"")</f>
        <v/>
      </c>
      <c r="J973" s="25" t="str">
        <f>IFERROR(_xlfn.XLOOKUP($E973,$O$35:$O$43,$T$35:$T$43)*G973/$P$9,"")</f>
        <v/>
      </c>
      <c r="K973" s="25" t="str">
        <f>IF(E973=$O$43,($D973/50-$T$43*$P$9)/$P$9,"")</f>
        <v/>
      </c>
      <c r="L973" s="25" t="str">
        <f>IFERROR(($D973/50-_xlfn.XLOOKUP($H973,$O$48:$O$62,$T$48:$T$62)*$P$14)/$P$9,"")</f>
        <v/>
      </c>
      <c r="M973" s="14">
        <f t="shared" si="15"/>
        <v>0</v>
      </c>
    </row>
    <row r="974" spans="2:13" x14ac:dyDescent="0.25">
      <c r="B974" s="10" t="str">
        <f>IF('Importér data'!C985="type",'Importér data'!F985,"")</f>
        <v/>
      </c>
      <c r="C974" s="10">
        <f>'Importér data'!H985</f>
        <v>0</v>
      </c>
      <c r="D974" s="32" t="str">
        <f>IF('Importér data'!C985="type",'Importér data'!N985,"")</f>
        <v/>
      </c>
      <c r="E974" s="24"/>
      <c r="F974" s="45"/>
      <c r="G974" s="45"/>
      <c r="H974" s="24"/>
      <c r="I974" s="25" t="str">
        <f>IFERROR(($D974/50-_xlfn.XLOOKUP($E974,$O$35:$O$43,$T$35:$T$43)*F974)/$P$9,"")</f>
        <v/>
      </c>
      <c r="J974" s="25" t="str">
        <f>IFERROR(_xlfn.XLOOKUP($E974,$O$35:$O$43,$T$35:$T$43)*G974/$P$9,"")</f>
        <v/>
      </c>
      <c r="K974" s="25" t="str">
        <f>IF(E974=$O$43,($D974/50-$T$43*$P$9)/$P$9,"")</f>
        <v/>
      </c>
      <c r="L974" s="25" t="str">
        <f>IFERROR(($D974/50-_xlfn.XLOOKUP($H974,$O$48:$O$62,$T$48:$T$62)*$P$14)/$P$9,"")</f>
        <v/>
      </c>
      <c r="M974" s="14">
        <f t="shared" si="15"/>
        <v>0</v>
      </c>
    </row>
    <row r="975" spans="2:13" x14ac:dyDescent="0.25">
      <c r="B975" s="10" t="str">
        <f>IF('Importér data'!C986="type",'Importér data'!F986,"")</f>
        <v/>
      </c>
      <c r="C975" s="10">
        <f>'Importér data'!H986</f>
        <v>0</v>
      </c>
      <c r="D975" s="32" t="str">
        <f>IF('Importér data'!C986="type",'Importér data'!N986,"")</f>
        <v/>
      </c>
      <c r="E975" s="24"/>
      <c r="F975" s="45"/>
      <c r="G975" s="45"/>
      <c r="H975" s="24"/>
      <c r="I975" s="25" t="str">
        <f>IFERROR(($D975/50-_xlfn.XLOOKUP($E975,$O$35:$O$43,$T$35:$T$43)*F975)/$P$9,"")</f>
        <v/>
      </c>
      <c r="J975" s="25" t="str">
        <f>IFERROR(_xlfn.XLOOKUP($E975,$O$35:$O$43,$T$35:$T$43)*G975/$P$9,"")</f>
        <v/>
      </c>
      <c r="K975" s="25" t="str">
        <f>IF(E975=$O$43,($D975/50-$T$43*$P$9)/$P$9,"")</f>
        <v/>
      </c>
      <c r="L975" s="25" t="str">
        <f>IFERROR(($D975/50-_xlfn.XLOOKUP($H975,$O$48:$O$62,$T$48:$T$62)*$P$14)/$P$9,"")</f>
        <v/>
      </c>
      <c r="M975" s="14">
        <f t="shared" si="15"/>
        <v>0</v>
      </c>
    </row>
    <row r="976" spans="2:13" x14ac:dyDescent="0.25">
      <c r="B976" s="10" t="str">
        <f>IF('Importér data'!C987="type",'Importér data'!F987,"")</f>
        <v/>
      </c>
      <c r="C976" s="10">
        <f>'Importér data'!H987</f>
        <v>0</v>
      </c>
      <c r="D976" s="32" t="str">
        <f>IF('Importér data'!C987="type",'Importér data'!N987,"")</f>
        <v/>
      </c>
      <c r="E976" s="24"/>
      <c r="F976" s="45"/>
      <c r="G976" s="45"/>
      <c r="H976" s="24"/>
      <c r="I976" s="25" t="str">
        <f>IFERROR(($D976/50-_xlfn.XLOOKUP($E976,$O$35:$O$43,$T$35:$T$43)*F976)/$P$9,"")</f>
        <v/>
      </c>
      <c r="J976" s="25" t="str">
        <f>IFERROR(_xlfn.XLOOKUP($E976,$O$35:$O$43,$T$35:$T$43)*G976/$P$9,"")</f>
        <v/>
      </c>
      <c r="K976" s="25" t="str">
        <f>IF(E976=$O$43,($D976/50-$T$43*$P$9)/$P$9,"")</f>
        <v/>
      </c>
      <c r="L976" s="25" t="str">
        <f>IFERROR(($D976/50-_xlfn.XLOOKUP($H976,$O$48:$O$62,$T$48:$T$62)*$P$14)/$P$9,"")</f>
        <v/>
      </c>
      <c r="M976" s="14">
        <f t="shared" si="15"/>
        <v>0</v>
      </c>
    </row>
    <row r="977" spans="2:13" x14ac:dyDescent="0.25">
      <c r="B977" s="10" t="str">
        <f>IF('Importér data'!C988="type",'Importér data'!F988,"")</f>
        <v/>
      </c>
      <c r="C977" s="10">
        <f>'Importér data'!H988</f>
        <v>0</v>
      </c>
      <c r="D977" s="32" t="str">
        <f>IF('Importér data'!C988="type",'Importér data'!N988,"")</f>
        <v/>
      </c>
      <c r="E977" s="24"/>
      <c r="F977" s="45"/>
      <c r="G977" s="45"/>
      <c r="H977" s="24"/>
      <c r="I977" s="25" t="str">
        <f>IFERROR(($D977/50-_xlfn.XLOOKUP($E977,$O$35:$O$43,$T$35:$T$43)*F977)/$P$9,"")</f>
        <v/>
      </c>
      <c r="J977" s="25" t="str">
        <f>IFERROR(_xlfn.XLOOKUP($E977,$O$35:$O$43,$T$35:$T$43)*G977/$P$9,"")</f>
        <v/>
      </c>
      <c r="K977" s="25" t="str">
        <f>IF(E977=$O$43,($D977/50-$T$43*$P$9)/$P$9,"")</f>
        <v/>
      </c>
      <c r="L977" s="25" t="str">
        <f>IFERROR(($D977/50-_xlfn.XLOOKUP($H977,$O$48:$O$62,$T$48:$T$62)*$P$14)/$P$9,"")</f>
        <v/>
      </c>
      <c r="M977" s="14">
        <f t="shared" si="15"/>
        <v>0</v>
      </c>
    </row>
    <row r="978" spans="2:13" x14ac:dyDescent="0.25">
      <c r="B978" s="10" t="str">
        <f>IF('Importér data'!C989="type",'Importér data'!F989,"")</f>
        <v/>
      </c>
      <c r="C978" s="10">
        <f>'Importér data'!H989</f>
        <v>0</v>
      </c>
      <c r="D978" s="32" t="str">
        <f>IF('Importér data'!C989="type",'Importér data'!N989,"")</f>
        <v/>
      </c>
      <c r="E978" s="24"/>
      <c r="F978" s="45"/>
      <c r="G978" s="45"/>
      <c r="H978" s="24"/>
      <c r="I978" s="25" t="str">
        <f>IFERROR(($D978/50-_xlfn.XLOOKUP($E978,$O$35:$O$43,$T$35:$T$43)*F978)/$P$9,"")</f>
        <v/>
      </c>
      <c r="J978" s="25" t="str">
        <f>IFERROR(_xlfn.XLOOKUP($E978,$O$35:$O$43,$T$35:$T$43)*G978/$P$9,"")</f>
        <v/>
      </c>
      <c r="K978" s="25" t="str">
        <f>IF(E978=$O$43,($D978/50-$T$43*$P$9)/$P$9,"")</f>
        <v/>
      </c>
      <c r="L978" s="25" t="str">
        <f>IFERROR(($D978/50-_xlfn.XLOOKUP($H978,$O$48:$O$62,$T$48:$T$62)*$P$14)/$P$9,"")</f>
        <v/>
      </c>
      <c r="M978" s="14">
        <f t="shared" si="15"/>
        <v>0</v>
      </c>
    </row>
    <row r="979" spans="2:13" x14ac:dyDescent="0.25">
      <c r="B979" s="10" t="str">
        <f>IF('Importér data'!C990="type",'Importér data'!F990,"")</f>
        <v/>
      </c>
      <c r="C979" s="10">
        <f>'Importér data'!H990</f>
        <v>0</v>
      </c>
      <c r="D979" s="32" t="str">
        <f>IF('Importér data'!C990="type",'Importér data'!N990,"")</f>
        <v/>
      </c>
      <c r="E979" s="24"/>
      <c r="F979" s="45"/>
      <c r="G979" s="45"/>
      <c r="H979" s="24"/>
      <c r="I979" s="25" t="str">
        <f>IFERROR(($D979/50-_xlfn.XLOOKUP($E979,$O$35:$O$43,$T$35:$T$43)*F979)/$P$9,"")</f>
        <v/>
      </c>
      <c r="J979" s="25" t="str">
        <f>IFERROR(_xlfn.XLOOKUP($E979,$O$35:$O$43,$T$35:$T$43)*G979/$P$9,"")</f>
        <v/>
      </c>
      <c r="K979" s="25" t="str">
        <f>IF(E979=$O$43,($D979/50-$T$43*$P$9)/$P$9,"")</f>
        <v/>
      </c>
      <c r="L979" s="25" t="str">
        <f>IFERROR(($D979/50-_xlfn.XLOOKUP($H979,$O$48:$O$62,$T$48:$T$62)*$P$14)/$P$9,"")</f>
        <v/>
      </c>
      <c r="M979" s="14">
        <f t="shared" si="15"/>
        <v>0</v>
      </c>
    </row>
    <row r="980" spans="2:13" x14ac:dyDescent="0.25">
      <c r="B980" s="10" t="str">
        <f>IF('Importér data'!C991="type",'Importér data'!F991,"")</f>
        <v/>
      </c>
      <c r="C980" s="10">
        <f>'Importér data'!H991</f>
        <v>0</v>
      </c>
      <c r="D980" s="32" t="str">
        <f>IF('Importér data'!C991="type",'Importér data'!N991,"")</f>
        <v/>
      </c>
      <c r="E980" s="24"/>
      <c r="F980" s="45"/>
      <c r="G980" s="45"/>
      <c r="H980" s="24"/>
      <c r="I980" s="25" t="str">
        <f>IFERROR(($D980/50-_xlfn.XLOOKUP($E980,$O$35:$O$43,$T$35:$T$43)*F980)/$P$9,"")</f>
        <v/>
      </c>
      <c r="J980" s="25" t="str">
        <f>IFERROR(_xlfn.XLOOKUP($E980,$O$35:$O$43,$T$35:$T$43)*G980/$P$9,"")</f>
        <v/>
      </c>
      <c r="K980" s="25" t="str">
        <f>IF(E980=$O$43,($D980/50-$T$43*$P$9)/$P$9,"")</f>
        <v/>
      </c>
      <c r="L980" s="25" t="str">
        <f>IFERROR(($D980/50-_xlfn.XLOOKUP($H980,$O$48:$O$62,$T$48:$T$62)*$P$14)/$P$9,"")</f>
        <v/>
      </c>
      <c r="M980" s="14">
        <f t="shared" si="15"/>
        <v>0</v>
      </c>
    </row>
    <row r="981" spans="2:13" x14ac:dyDescent="0.25">
      <c r="B981" s="10" t="str">
        <f>IF('Importér data'!C992="type",'Importér data'!F992,"")</f>
        <v/>
      </c>
      <c r="C981" s="10">
        <f>'Importér data'!H992</f>
        <v>0</v>
      </c>
      <c r="D981" s="32" t="str">
        <f>IF('Importér data'!C992="type",'Importér data'!N992,"")</f>
        <v/>
      </c>
      <c r="E981" s="24"/>
      <c r="F981" s="45"/>
      <c r="G981" s="45"/>
      <c r="H981" s="24"/>
      <c r="I981" s="25" t="str">
        <f>IFERROR(($D981/50-_xlfn.XLOOKUP($E981,$O$35:$O$43,$T$35:$T$43)*F981)/$P$9,"")</f>
        <v/>
      </c>
      <c r="J981" s="25" t="str">
        <f>IFERROR(_xlfn.XLOOKUP($E981,$O$35:$O$43,$T$35:$T$43)*G981/$P$9,"")</f>
        <v/>
      </c>
      <c r="K981" s="25" t="str">
        <f>IF(E981=$O$43,($D981/50-$T$43*$P$9)/$P$9,"")</f>
        <v/>
      </c>
      <c r="L981" s="25" t="str">
        <f>IFERROR(($D981/50-_xlfn.XLOOKUP($H981,$O$48:$O$62,$T$48:$T$62)*$P$14)/$P$9,"")</f>
        <v/>
      </c>
      <c r="M981" s="14">
        <f t="shared" si="15"/>
        <v>0</v>
      </c>
    </row>
    <row r="982" spans="2:13" x14ac:dyDescent="0.25">
      <c r="B982" s="10" t="str">
        <f>IF('Importér data'!C993="type",'Importér data'!F993,"")</f>
        <v/>
      </c>
      <c r="C982" s="10">
        <f>'Importér data'!H993</f>
        <v>0</v>
      </c>
      <c r="D982" s="32" t="str">
        <f>IF('Importér data'!C993="type",'Importér data'!N993,"")</f>
        <v/>
      </c>
      <c r="E982" s="24"/>
      <c r="F982" s="45"/>
      <c r="G982" s="45"/>
      <c r="H982" s="24"/>
      <c r="I982" s="25" t="str">
        <f>IFERROR(($D982/50-_xlfn.XLOOKUP($E982,$O$35:$O$43,$T$35:$T$43)*F982)/$P$9,"")</f>
        <v/>
      </c>
      <c r="J982" s="25" t="str">
        <f>IFERROR(_xlfn.XLOOKUP($E982,$O$35:$O$43,$T$35:$T$43)*G982/$P$9,"")</f>
        <v/>
      </c>
      <c r="K982" s="25" t="str">
        <f>IF(E982=$O$43,($D982/50-$T$43*$P$9)/$P$9,"")</f>
        <v/>
      </c>
      <c r="L982" s="25" t="str">
        <f>IFERROR(($D982/50-_xlfn.XLOOKUP($H982,$O$48:$O$62,$T$48:$T$62)*$P$14)/$P$9,"")</f>
        <v/>
      </c>
      <c r="M982" s="14">
        <f t="shared" si="15"/>
        <v>0</v>
      </c>
    </row>
    <row r="983" spans="2:13" x14ac:dyDescent="0.25">
      <c r="B983" s="10" t="str">
        <f>IF('Importér data'!C994="type",'Importér data'!F994,"")</f>
        <v/>
      </c>
      <c r="C983" s="10">
        <f>'Importér data'!H994</f>
        <v>0</v>
      </c>
      <c r="D983" s="32" t="str">
        <f>IF('Importér data'!C994="type",'Importér data'!N994,"")</f>
        <v/>
      </c>
      <c r="E983" s="24"/>
      <c r="F983" s="45"/>
      <c r="G983" s="45"/>
      <c r="H983" s="24"/>
      <c r="I983" s="25" t="str">
        <f>IFERROR(($D983/50-_xlfn.XLOOKUP($E983,$O$35:$O$43,$T$35:$T$43)*F983)/$P$9,"")</f>
        <v/>
      </c>
      <c r="J983" s="25" t="str">
        <f>IFERROR(_xlfn.XLOOKUP($E983,$O$35:$O$43,$T$35:$T$43)*G983/$P$9,"")</f>
        <v/>
      </c>
      <c r="K983" s="25" t="str">
        <f>IF(E983=$O$43,($D983/50-$T$43*$P$9)/$P$9,"")</f>
        <v/>
      </c>
      <c r="L983" s="25" t="str">
        <f>IFERROR(($D983/50-_xlfn.XLOOKUP($H983,$O$48:$O$62,$T$48:$T$62)*$P$14)/$P$9,"")</f>
        <v/>
      </c>
      <c r="M983" s="14">
        <f t="shared" si="15"/>
        <v>0</v>
      </c>
    </row>
    <row r="984" spans="2:13" x14ac:dyDescent="0.25">
      <c r="B984" s="10" t="str">
        <f>IF('Importér data'!C995="type",'Importér data'!F995,"")</f>
        <v/>
      </c>
      <c r="C984" s="10">
        <f>'Importér data'!H995</f>
        <v>0</v>
      </c>
      <c r="D984" s="32" t="str">
        <f>IF('Importér data'!C995="type",'Importér data'!N995,"")</f>
        <v/>
      </c>
      <c r="E984" s="24"/>
      <c r="F984" s="45"/>
      <c r="G984" s="45"/>
      <c r="H984" s="24"/>
      <c r="I984" s="25" t="str">
        <f>IFERROR(($D984/50-_xlfn.XLOOKUP($E984,$O$35:$O$43,$T$35:$T$43)*F984)/$P$9,"")</f>
        <v/>
      </c>
      <c r="J984" s="25" t="str">
        <f>IFERROR(_xlfn.XLOOKUP($E984,$O$35:$O$43,$T$35:$T$43)*G984/$P$9,"")</f>
        <v/>
      </c>
      <c r="K984" s="25" t="str">
        <f>IF(E984=$O$43,($D984/50-$T$43*$P$9)/$P$9,"")</f>
        <v/>
      </c>
      <c r="L984" s="25" t="str">
        <f>IFERROR(($D984/50-_xlfn.XLOOKUP($H984,$O$48:$O$62,$T$48:$T$62)*$P$14)/$P$9,"")</f>
        <v/>
      </c>
      <c r="M984" s="14">
        <f t="shared" si="15"/>
        <v>0</v>
      </c>
    </row>
    <row r="985" spans="2:13" x14ac:dyDescent="0.25">
      <c r="B985" s="10" t="str">
        <f>IF('Importér data'!C996="type",'Importér data'!F996,"")</f>
        <v/>
      </c>
      <c r="C985" s="10">
        <f>'Importér data'!H996</f>
        <v>0</v>
      </c>
      <c r="D985" s="32" t="str">
        <f>IF('Importér data'!C996="type",'Importér data'!N996,"")</f>
        <v/>
      </c>
      <c r="E985" s="24"/>
      <c r="F985" s="45"/>
      <c r="G985" s="45"/>
      <c r="H985" s="24"/>
      <c r="I985" s="25" t="str">
        <f>IFERROR(($D985/50-_xlfn.XLOOKUP($E985,$O$35:$O$43,$T$35:$T$43)*F985)/$P$9,"")</f>
        <v/>
      </c>
      <c r="J985" s="25" t="str">
        <f>IFERROR(_xlfn.XLOOKUP($E985,$O$35:$O$43,$T$35:$T$43)*G985/$P$9,"")</f>
        <v/>
      </c>
      <c r="K985" s="25" t="str">
        <f>IF(E985=$O$43,($D985/50-$T$43*$P$9)/$P$9,"")</f>
        <v/>
      </c>
      <c r="L985" s="25" t="str">
        <f>IFERROR(($D985/50-_xlfn.XLOOKUP($H985,$O$48:$O$62,$T$48:$T$62)*$P$14)/$P$9,"")</f>
        <v/>
      </c>
      <c r="M985" s="14">
        <f t="shared" si="15"/>
        <v>0</v>
      </c>
    </row>
    <row r="986" spans="2:13" x14ac:dyDescent="0.25">
      <c r="B986" s="10" t="str">
        <f>IF('Importér data'!C997="type",'Importér data'!F997,"")</f>
        <v/>
      </c>
      <c r="C986" s="10">
        <f>'Importér data'!H997</f>
        <v>0</v>
      </c>
      <c r="D986" s="32" t="str">
        <f>IF('Importér data'!C997="type",'Importér data'!N997,"")</f>
        <v/>
      </c>
      <c r="E986" s="24"/>
      <c r="F986" s="45"/>
      <c r="G986" s="45"/>
      <c r="H986" s="24"/>
      <c r="I986" s="25" t="str">
        <f>IFERROR(($D986/50-_xlfn.XLOOKUP($E986,$O$35:$O$43,$T$35:$T$43)*F986)/$P$9,"")</f>
        <v/>
      </c>
      <c r="J986" s="25" t="str">
        <f>IFERROR(_xlfn.XLOOKUP($E986,$O$35:$O$43,$T$35:$T$43)*G986/$P$9,"")</f>
        <v/>
      </c>
      <c r="K986" s="25" t="str">
        <f>IF(E986=$O$43,($D986/50-$T$43*$P$9)/$P$9,"")</f>
        <v/>
      </c>
      <c r="L986" s="25" t="str">
        <f>IFERROR(($D986/50-_xlfn.XLOOKUP($H986,$O$48:$O$62,$T$48:$T$62)*$P$14)/$P$9,"")</f>
        <v/>
      </c>
      <c r="M986" s="14">
        <f t="shared" si="15"/>
        <v>0</v>
      </c>
    </row>
    <row r="987" spans="2:13" x14ac:dyDescent="0.25">
      <c r="B987" s="10" t="str">
        <f>IF('Importér data'!C998="type",'Importér data'!F998,"")</f>
        <v/>
      </c>
      <c r="C987" s="10">
        <f>'Importér data'!H998</f>
        <v>0</v>
      </c>
      <c r="D987" s="32" t="str">
        <f>IF('Importér data'!C998="type",'Importér data'!N998,"")</f>
        <v/>
      </c>
      <c r="E987" s="24"/>
      <c r="F987" s="45"/>
      <c r="G987" s="45"/>
      <c r="H987" s="24"/>
      <c r="I987" s="25" t="str">
        <f>IFERROR(($D987/50-_xlfn.XLOOKUP($E987,$O$35:$O$43,$T$35:$T$43)*F987)/$P$9,"")</f>
        <v/>
      </c>
      <c r="J987" s="25" t="str">
        <f>IFERROR(_xlfn.XLOOKUP($E987,$O$35:$O$43,$T$35:$T$43)*G987/$P$9,"")</f>
        <v/>
      </c>
      <c r="K987" s="25" t="str">
        <f>IF(E987=$O$43,($D987/50-$T$43*$P$9)/$P$9,"")</f>
        <v/>
      </c>
      <c r="L987" s="25" t="str">
        <f>IFERROR(($D987/50-_xlfn.XLOOKUP($H987,$O$48:$O$62,$T$48:$T$62)*$P$14)/$P$9,"")</f>
        <v/>
      </c>
      <c r="M987" s="14">
        <f t="shared" si="15"/>
        <v>0</v>
      </c>
    </row>
    <row r="988" spans="2:13" x14ac:dyDescent="0.25">
      <c r="B988" s="10" t="str">
        <f>IF('Importér data'!C999="type",'Importér data'!F999,"")</f>
        <v/>
      </c>
      <c r="C988" s="10">
        <f>'Importér data'!H999</f>
        <v>0</v>
      </c>
      <c r="D988" s="32" t="str">
        <f>IF('Importér data'!C999="type",'Importér data'!N999,"")</f>
        <v/>
      </c>
      <c r="E988" s="24"/>
      <c r="F988" s="45"/>
      <c r="G988" s="45"/>
      <c r="H988" s="24"/>
      <c r="I988" s="25" t="str">
        <f>IFERROR(($D988/50-_xlfn.XLOOKUP($E988,$O$35:$O$43,$T$35:$T$43)*F988)/$P$9,"")</f>
        <v/>
      </c>
      <c r="J988" s="25" t="str">
        <f>IFERROR(_xlfn.XLOOKUP($E988,$O$35:$O$43,$T$35:$T$43)*G988/$P$9,"")</f>
        <v/>
      </c>
      <c r="K988" s="25" t="str">
        <f>IF(E988=$O$43,($D988/50-$T$43*$P$9)/$P$9,"")</f>
        <v/>
      </c>
      <c r="L988" s="25" t="str">
        <f>IFERROR(($D988/50-_xlfn.XLOOKUP($H988,$O$48:$O$62,$T$48:$T$62)*$P$14)/$P$9,"")</f>
        <v/>
      </c>
      <c r="M988" s="14">
        <f t="shared" si="15"/>
        <v>0</v>
      </c>
    </row>
    <row r="989" spans="2:13" x14ac:dyDescent="0.25">
      <c r="B989" s="10" t="str">
        <f>IF('Importér data'!C1000="type",'Importér data'!F1000,"")</f>
        <v/>
      </c>
      <c r="C989" s="10">
        <f>'Importér data'!H1000</f>
        <v>0</v>
      </c>
      <c r="D989" s="32" t="str">
        <f>IF('Importér data'!C1000="type",'Importér data'!N1000,"")</f>
        <v/>
      </c>
      <c r="E989" s="24"/>
      <c r="F989" s="45"/>
      <c r="G989" s="45"/>
      <c r="H989" s="24"/>
      <c r="I989" s="25" t="str">
        <f>IFERROR(($D989/50-_xlfn.XLOOKUP($E989,$O$35:$O$43,$T$35:$T$43)*F989)/$P$9,"")</f>
        <v/>
      </c>
      <c r="J989" s="25" t="str">
        <f>IFERROR(_xlfn.XLOOKUP($E989,$O$35:$O$43,$T$35:$T$43)*G989/$P$9,"")</f>
        <v/>
      </c>
      <c r="K989" s="25" t="str">
        <f>IF(E989=$O$43,($D989/50-$T$43*$P$9)/$P$9,"")</f>
        <v/>
      </c>
      <c r="L989" s="25" t="str">
        <f>IFERROR(($D989/50-_xlfn.XLOOKUP($H989,$O$48:$O$62,$T$48:$T$62)*$P$14)/$P$9,"")</f>
        <v/>
      </c>
      <c r="M989" s="14">
        <f t="shared" si="15"/>
        <v>0</v>
      </c>
    </row>
    <row r="990" spans="2:13" x14ac:dyDescent="0.25">
      <c r="B990" s="10" t="str">
        <f>IF('Importér data'!C1001="type",'Importér data'!F1001,"")</f>
        <v/>
      </c>
      <c r="C990" s="10">
        <f>'Importér data'!H1001</f>
        <v>0</v>
      </c>
      <c r="D990" s="32" t="str">
        <f>IF('Importér data'!C1001="type",'Importér data'!N1001,"")</f>
        <v/>
      </c>
      <c r="E990" s="24"/>
      <c r="F990" s="45"/>
      <c r="G990" s="45"/>
      <c r="H990" s="24"/>
      <c r="I990" s="25" t="str">
        <f>IFERROR(($D990/50-_xlfn.XLOOKUP($E990,$O$35:$O$43,$T$35:$T$43)*F990)/$P$9,"")</f>
        <v/>
      </c>
      <c r="J990" s="25" t="str">
        <f>IFERROR(_xlfn.XLOOKUP($E990,$O$35:$O$43,$T$35:$T$43)*G990/$P$9,"")</f>
        <v/>
      </c>
      <c r="K990" s="25" t="str">
        <f>IF(E990=$O$43,($D990/50-$T$43*$P$9)/$P$9,"")</f>
        <v/>
      </c>
      <c r="L990" s="25" t="str">
        <f>IFERROR(($D990/50-_xlfn.XLOOKUP($H990,$O$48:$O$62,$T$48:$T$62)*$P$14)/$P$9,"")</f>
        <v/>
      </c>
      <c r="M990" s="14">
        <f t="shared" si="15"/>
        <v>0</v>
      </c>
    </row>
    <row r="991" spans="2:13" x14ac:dyDescent="0.25">
      <c r="B991" s="10" t="str">
        <f>IF('Importér data'!C1002="type",'Importér data'!F1002,"")</f>
        <v/>
      </c>
      <c r="C991" s="10">
        <f>'Importér data'!H1002</f>
        <v>0</v>
      </c>
      <c r="D991" s="32" t="str">
        <f>IF('Importér data'!C1002="type",'Importér data'!N1002,"")</f>
        <v/>
      </c>
      <c r="E991" s="24"/>
      <c r="F991" s="45"/>
      <c r="G991" s="45"/>
      <c r="H991" s="24"/>
      <c r="I991" s="25" t="str">
        <f>IFERROR(($D991/50-_xlfn.XLOOKUP($E991,$O$35:$O$43,$T$35:$T$43)*F991)/$P$9,"")</f>
        <v/>
      </c>
      <c r="J991" s="25" t="str">
        <f>IFERROR(_xlfn.XLOOKUP($E991,$O$35:$O$43,$T$35:$T$43)*G991/$P$9,"")</f>
        <v/>
      </c>
      <c r="K991" s="25" t="str">
        <f>IF(E991=$O$43,($D991/50-$T$43*$P$9)/$P$9,"")</f>
        <v/>
      </c>
      <c r="L991" s="25" t="str">
        <f>IFERROR(($D991/50-_xlfn.XLOOKUP($H991,$O$48:$O$62,$T$48:$T$62)*$P$14)/$P$9,"")</f>
        <v/>
      </c>
      <c r="M991" s="14">
        <f t="shared" si="15"/>
        <v>0</v>
      </c>
    </row>
    <row r="992" spans="2:13" x14ac:dyDescent="0.25">
      <c r="B992" s="10" t="str">
        <f>IF('Importér data'!C1003="type",'Importér data'!F1003,"")</f>
        <v/>
      </c>
      <c r="C992" s="10">
        <f>'Importér data'!H1003</f>
        <v>0</v>
      </c>
      <c r="D992" s="32" t="str">
        <f>IF('Importér data'!C1003="type",'Importér data'!N1003,"")</f>
        <v/>
      </c>
      <c r="E992" s="24"/>
      <c r="F992" s="45"/>
      <c r="G992" s="45"/>
      <c r="H992" s="24"/>
      <c r="I992" s="25" t="str">
        <f>IFERROR(($D992/50-_xlfn.XLOOKUP($E992,$O$35:$O$43,$T$35:$T$43)*F992)/$P$9,"")</f>
        <v/>
      </c>
      <c r="J992" s="25" t="str">
        <f>IFERROR(_xlfn.XLOOKUP($E992,$O$35:$O$43,$T$35:$T$43)*G992/$P$9,"")</f>
        <v/>
      </c>
      <c r="K992" s="25" t="str">
        <f>IF(E992=$O$43,($D992/50-$T$43*$P$9)/$P$9,"")</f>
        <v/>
      </c>
      <c r="L992" s="25" t="str">
        <f>IFERROR(($D992/50-_xlfn.XLOOKUP($H992,$O$48:$O$62,$T$48:$T$62)*$P$14)/$P$9,"")</f>
        <v/>
      </c>
      <c r="M992" s="14">
        <f t="shared" si="15"/>
        <v>0</v>
      </c>
    </row>
    <row r="993" spans="2:13" x14ac:dyDescent="0.25">
      <c r="B993" s="10" t="str">
        <f>IF('Importér data'!C1004="type",'Importér data'!F1004,"")</f>
        <v/>
      </c>
      <c r="C993" s="10">
        <f>'Importér data'!H1004</f>
        <v>0</v>
      </c>
      <c r="D993" s="32" t="str">
        <f>IF('Importér data'!C1004="type",'Importér data'!N1004,"")</f>
        <v/>
      </c>
      <c r="E993" s="24"/>
      <c r="F993" s="45"/>
      <c r="G993" s="45"/>
      <c r="H993" s="24"/>
      <c r="I993" s="25" t="str">
        <f>IFERROR(($D993/50-_xlfn.XLOOKUP($E993,$O$35:$O$43,$T$35:$T$43)*F993)/$P$9,"")</f>
        <v/>
      </c>
      <c r="J993" s="25" t="str">
        <f>IFERROR(_xlfn.XLOOKUP($E993,$O$35:$O$43,$T$35:$T$43)*G993/$P$9,"")</f>
        <v/>
      </c>
      <c r="K993" s="25" t="str">
        <f>IF(E993=$O$43,($D993/50-$T$43*$P$9)/$P$9,"")</f>
        <v/>
      </c>
      <c r="L993" s="25" t="str">
        <f>IFERROR(($D993/50-_xlfn.XLOOKUP($H993,$O$48:$O$62,$T$48:$T$62)*$P$14)/$P$9,"")</f>
        <v/>
      </c>
      <c r="M993" s="14">
        <f t="shared" si="15"/>
        <v>0</v>
      </c>
    </row>
    <row r="994" spans="2:13" x14ac:dyDescent="0.25">
      <c r="B994" s="10" t="str">
        <f>IF('Importér data'!C1005="type",'Importér data'!F1005,"")</f>
        <v/>
      </c>
      <c r="C994" s="10">
        <f>'Importér data'!H1005</f>
        <v>0</v>
      </c>
      <c r="D994" s="32" t="str">
        <f>IF('Importér data'!C1005="type",'Importér data'!N1005,"")</f>
        <v/>
      </c>
      <c r="E994" s="24"/>
      <c r="F994" s="45"/>
      <c r="G994" s="45"/>
      <c r="H994" s="24"/>
      <c r="I994" s="25" t="str">
        <f>IFERROR(($D994/50-_xlfn.XLOOKUP($E994,$O$35:$O$43,$T$35:$T$43)*F994)/$P$9,"")</f>
        <v/>
      </c>
      <c r="J994" s="25" t="str">
        <f>IFERROR(_xlfn.XLOOKUP($E994,$O$35:$O$43,$T$35:$T$43)*G994/$P$9,"")</f>
        <v/>
      </c>
      <c r="K994" s="25" t="str">
        <f>IF(E994=$O$43,($D994/50-$T$43*$P$9)/$P$9,"")</f>
        <v/>
      </c>
      <c r="L994" s="25" t="str">
        <f>IFERROR(($D994/50-_xlfn.XLOOKUP($H994,$O$48:$O$62,$T$48:$T$62)*$P$14)/$P$9,"")</f>
        <v/>
      </c>
      <c r="M994" s="14">
        <f t="shared" si="15"/>
        <v>0</v>
      </c>
    </row>
    <row r="995" spans="2:13" x14ac:dyDescent="0.25">
      <c r="B995" s="10" t="str">
        <f>IF('Importér data'!C1006="type",'Importér data'!F1006,"")</f>
        <v/>
      </c>
      <c r="C995" s="10">
        <f>'Importér data'!H1006</f>
        <v>0</v>
      </c>
      <c r="D995" s="32" t="str">
        <f>IF('Importér data'!C1006="type",'Importér data'!N1006,"")</f>
        <v/>
      </c>
      <c r="E995" s="24"/>
      <c r="F995" s="45"/>
      <c r="G995" s="45"/>
      <c r="H995" s="24"/>
      <c r="I995" s="25" t="str">
        <f>IFERROR(($D995/50-_xlfn.XLOOKUP($E995,$O$35:$O$43,$T$35:$T$43)*F995)/$P$9,"")</f>
        <v/>
      </c>
      <c r="J995" s="25" t="str">
        <f>IFERROR(_xlfn.XLOOKUP($E995,$O$35:$O$43,$T$35:$T$43)*G995/$P$9,"")</f>
        <v/>
      </c>
      <c r="K995" s="25" t="str">
        <f>IF(E995=$O$43,($D995/50-$T$43*$P$9)/$P$9,"")</f>
        <v/>
      </c>
      <c r="L995" s="25" t="str">
        <f>IFERROR(($D995/50-_xlfn.XLOOKUP($H995,$O$48:$O$62,$T$48:$T$62)*$P$14)/$P$9,"")</f>
        <v/>
      </c>
      <c r="M995" s="14">
        <f t="shared" si="15"/>
        <v>0</v>
      </c>
    </row>
    <row r="996" spans="2:13" x14ac:dyDescent="0.25">
      <c r="B996" s="10" t="str">
        <f>IF('Importér data'!C1007="type",'Importér data'!F1007,"")</f>
        <v/>
      </c>
      <c r="C996" s="10">
        <f>'Importér data'!H1007</f>
        <v>0</v>
      </c>
      <c r="D996" s="32" t="str">
        <f>IF('Importér data'!C1007="type",'Importér data'!N1007,"")</f>
        <v/>
      </c>
      <c r="E996" s="24"/>
      <c r="F996" s="45"/>
      <c r="G996" s="45"/>
      <c r="H996" s="24"/>
      <c r="I996" s="25" t="str">
        <f>IFERROR(($D996/50-_xlfn.XLOOKUP($E996,$O$35:$O$43,$T$35:$T$43)*F996)/$P$9,"")</f>
        <v/>
      </c>
      <c r="J996" s="25" t="str">
        <f>IFERROR(_xlfn.XLOOKUP($E996,$O$35:$O$43,$T$35:$T$43)*G996/$P$9,"")</f>
        <v/>
      </c>
      <c r="K996" s="25" t="str">
        <f>IF(E996=$O$43,($D996/50-$T$43*$P$9)/$P$9,"")</f>
        <v/>
      </c>
      <c r="L996" s="25" t="str">
        <f>IFERROR(($D996/50-_xlfn.XLOOKUP($H996,$O$48:$O$62,$T$48:$T$62)*$P$14)/$P$9,"")</f>
        <v/>
      </c>
      <c r="M996" s="14">
        <f t="shared" si="15"/>
        <v>0</v>
      </c>
    </row>
    <row r="997" spans="2:13" x14ac:dyDescent="0.25">
      <c r="B997" s="10" t="str">
        <f>IF('Importér data'!C1008="type",'Importér data'!F1008,"")</f>
        <v/>
      </c>
      <c r="C997" s="10">
        <f>'Importér data'!H1008</f>
        <v>0</v>
      </c>
      <c r="D997" s="32" t="str">
        <f>IF('Importér data'!C1008="type",'Importér data'!N1008,"")</f>
        <v/>
      </c>
      <c r="E997" s="24"/>
      <c r="F997" s="45"/>
      <c r="G997" s="45"/>
      <c r="H997" s="24"/>
      <c r="I997" s="25" t="str">
        <f>IFERROR(($D997/50-_xlfn.XLOOKUP($E997,$O$35:$O$43,$T$35:$T$43)*F997)/$P$9,"")</f>
        <v/>
      </c>
      <c r="J997" s="25" t="str">
        <f>IFERROR(_xlfn.XLOOKUP($E997,$O$35:$O$43,$T$35:$T$43)*G997/$P$9,"")</f>
        <v/>
      </c>
      <c r="K997" s="25" t="str">
        <f>IF(E997=$O$43,($D997/50-$T$43*$P$9)/$P$9,"")</f>
        <v/>
      </c>
      <c r="L997" s="25" t="str">
        <f>IFERROR(($D997/50-_xlfn.XLOOKUP($H997,$O$48:$O$62,$T$48:$T$62)*$P$14)/$P$9,"")</f>
        <v/>
      </c>
      <c r="M997" s="14">
        <f t="shared" si="15"/>
        <v>0</v>
      </c>
    </row>
    <row r="998" spans="2:13" x14ac:dyDescent="0.25">
      <c r="B998" s="10" t="str">
        <f>IF('Importér data'!C1009="type",'Importér data'!F1009,"")</f>
        <v/>
      </c>
      <c r="C998" s="10">
        <f>'Importér data'!H1009</f>
        <v>0</v>
      </c>
      <c r="D998" s="32" t="str">
        <f>IF('Importér data'!C1009="type",'Importér data'!N1009,"")</f>
        <v/>
      </c>
      <c r="E998" s="24"/>
      <c r="F998" s="45"/>
      <c r="G998" s="45"/>
      <c r="H998" s="24"/>
      <c r="I998" s="25" t="str">
        <f>IFERROR(($D998/50-_xlfn.XLOOKUP($E998,$O$35:$O$43,$T$35:$T$43)*F998)/$P$9,"")</f>
        <v/>
      </c>
      <c r="J998" s="25" t="str">
        <f>IFERROR(_xlfn.XLOOKUP($E998,$O$35:$O$43,$T$35:$T$43)*G998/$P$9,"")</f>
        <v/>
      </c>
      <c r="K998" s="25" t="str">
        <f>IF(E998=$O$43,($D998/50-$T$43*$P$9)/$P$9,"")</f>
        <v/>
      </c>
      <c r="L998" s="25" t="str">
        <f>IFERROR(($D998/50-_xlfn.XLOOKUP($H998,$O$48:$O$62,$T$48:$T$62)*$P$14)/$P$9,"")</f>
        <v/>
      </c>
      <c r="M998" s="14">
        <f t="shared" si="15"/>
        <v>0</v>
      </c>
    </row>
    <row r="999" spans="2:13" x14ac:dyDescent="0.25">
      <c r="B999" s="10" t="str">
        <f>IF('Importér data'!C1010="type",'Importér data'!F1010,"")</f>
        <v/>
      </c>
      <c r="C999" s="10">
        <f>'Importér data'!H1010</f>
        <v>0</v>
      </c>
      <c r="D999" s="32" t="str">
        <f>IF('Importér data'!C1010="type",'Importér data'!N1010,"")</f>
        <v/>
      </c>
      <c r="E999" s="24"/>
      <c r="F999" s="45"/>
      <c r="G999" s="45"/>
      <c r="H999" s="24"/>
      <c r="I999" s="25" t="str">
        <f>IFERROR(($D999/50-_xlfn.XLOOKUP($E999,$O$35:$O$43,$T$35:$T$43)*F999)/$P$9,"")</f>
        <v/>
      </c>
      <c r="J999" s="25" t="str">
        <f>IFERROR(_xlfn.XLOOKUP($E999,$O$35:$O$43,$T$35:$T$43)*G999/$P$9,"")</f>
        <v/>
      </c>
      <c r="K999" s="25" t="str">
        <f>IF(E999=$O$43,($D999/50-$T$43*$P$9)/$P$9,"")</f>
        <v/>
      </c>
      <c r="L999" s="25" t="str">
        <f>IFERROR(($D999/50-_xlfn.XLOOKUP($H999,$O$48:$O$62,$T$48:$T$62)*$P$14)/$P$9,"")</f>
        <v/>
      </c>
      <c r="M999" s="14">
        <f t="shared" si="15"/>
        <v>0</v>
      </c>
    </row>
  </sheetData>
  <mergeCells count="2">
    <mergeCell ref="Q20:R20"/>
    <mergeCell ref="Q21:R21"/>
  </mergeCells>
  <conditionalFormatting sqref="H1:H999">
    <cfRule type="cellIs" dxfId="0" priority="5" operator="equal">
      <formula>$E$7=$O$101</formula>
    </cfRule>
  </conditionalFormatting>
  <dataValidations count="2">
    <dataValidation type="list" allowBlank="1" showInputMessage="1" showErrorMessage="1" sqref="H5:H999" xr:uid="{F9AE53C2-C23C-4650-918E-51F6F0BE9F94}">
      <formula1>$O$48:$O$62</formula1>
    </dataValidation>
    <dataValidation type="list" allowBlank="1" showInputMessage="1" showErrorMessage="1" sqref="E5:E999" xr:uid="{FED45D99-A492-4BF1-A01F-DCC1BB3CDE99}">
      <formula1>$O$92:$O$115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Intro</vt:lpstr>
      <vt:lpstr>Importér data</vt:lpstr>
      <vt:lpstr>Beregn tillæg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Labrosse - AI a/s</dc:creator>
  <cp:lastModifiedBy>Mark Labrosse - AI a/s</cp:lastModifiedBy>
  <dcterms:created xsi:type="dcterms:W3CDTF">2025-01-27T09:57:03Z</dcterms:created>
  <dcterms:modified xsi:type="dcterms:W3CDTF">2025-05-20T09:06:49Z</dcterms:modified>
</cp:coreProperties>
</file>